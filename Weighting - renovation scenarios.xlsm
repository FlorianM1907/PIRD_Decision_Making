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3f-my.sharepoint.com/personal/souleymane_daniel_groupe3f_fr/Documents/Projet InER - Scientifique/05 - Numérique/Python/Analyse Multi-critères/Electre_Tri_B_MCDA_py/"/>
    </mc:Choice>
  </mc:AlternateContent>
  <xr:revisionPtr revIDLastSave="2391" documentId="114_{EE9B27CA-834C-414D-AEE7-1D71FCC430E9}" xr6:coauthVersionLast="46" xr6:coauthVersionMax="46" xr10:uidLastSave="{B4B4D06D-793F-4EE1-87E6-4F58519605BD}"/>
  <bookViews>
    <workbookView xWindow="28680" yWindow="-120" windowWidth="29040" windowHeight="15840" tabRatio="743" activeTab="1" xr2:uid="{165441F1-F5C6-4365-AA18-26B1A4213D2B}"/>
  </bookViews>
  <sheets>
    <sheet name="Critères" sheetId="5" r:id="rId1"/>
    <sheet name="Classements" sheetId="2" r:id="rId2"/>
    <sheet name="Calculs" sheetId="10" r:id="rId3"/>
    <sheet name="Résultats" sheetId="7"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7" i="10" l="1"/>
  <c r="B98" i="10" s="1"/>
  <c r="B99" i="10" s="1"/>
  <c r="B100" i="10" s="1"/>
  <c r="B101" i="10" s="1"/>
  <c r="B102" i="10" s="1"/>
  <c r="B103" i="10" s="1"/>
  <c r="L103" i="10" l="1"/>
  <c r="L101" i="10"/>
  <c r="L100" i="10"/>
  <c r="L99" i="10"/>
  <c r="L98" i="10"/>
  <c r="L97" i="10"/>
  <c r="L102" i="10"/>
  <c r="K103" i="10"/>
  <c r="K102" i="10"/>
  <c r="K101" i="10"/>
  <c r="K100" i="10"/>
  <c r="K99" i="10"/>
  <c r="K98" i="10"/>
  <c r="K97" i="10"/>
  <c r="F103" i="10"/>
  <c r="G103" i="10" s="1"/>
  <c r="G102" i="10"/>
  <c r="F102" i="10"/>
  <c r="G101" i="10"/>
  <c r="F101" i="10"/>
  <c r="F100" i="10"/>
  <c r="G100" i="10" s="1"/>
  <c r="F99" i="10"/>
  <c r="G99" i="10" s="1"/>
  <c r="F98" i="10"/>
  <c r="G98" i="10" s="1"/>
  <c r="F97" i="10"/>
  <c r="G97" i="10" s="1"/>
  <c r="C108" i="10"/>
  <c r="D108" i="10"/>
  <c r="K108" i="10" s="1"/>
  <c r="E108" i="10"/>
  <c r="C107" i="10"/>
  <c r="D107" i="10"/>
  <c r="E107" i="10"/>
  <c r="C106" i="10"/>
  <c r="D106" i="10"/>
  <c r="E106" i="10"/>
  <c r="C105" i="10"/>
  <c r="D105" i="10"/>
  <c r="E105" i="10"/>
  <c r="C104" i="10"/>
  <c r="K104" i="10" s="1"/>
  <c r="D104" i="10"/>
  <c r="E104" i="10"/>
  <c r="C103" i="10"/>
  <c r="D103" i="10"/>
  <c r="E103" i="10"/>
  <c r="C102" i="10"/>
  <c r="D102" i="10"/>
  <c r="E102" i="10"/>
  <c r="C101" i="10"/>
  <c r="D101" i="10"/>
  <c r="E101" i="10"/>
  <c r="C100" i="10"/>
  <c r="D100" i="10"/>
  <c r="E100" i="10"/>
  <c r="C99" i="10"/>
  <c r="D99" i="10"/>
  <c r="E99" i="10"/>
  <c r="C98" i="10"/>
  <c r="D98" i="10"/>
  <c r="E98" i="10"/>
  <c r="D97" i="10"/>
  <c r="E97" i="10"/>
  <c r="C97" i="10"/>
  <c r="O79" i="10"/>
  <c r="G89" i="10"/>
  <c r="H89" i="10" s="1"/>
  <c r="I89" i="10" s="1"/>
  <c r="C89" i="10"/>
  <c r="G67" i="10"/>
  <c r="H67" i="10" s="1"/>
  <c r="C67" i="10"/>
  <c r="K67" i="10" s="1"/>
  <c r="D67" i="10"/>
  <c r="E67" i="10"/>
  <c r="C66" i="10"/>
  <c r="D66" i="10"/>
  <c r="E66" i="10"/>
  <c r="C65" i="10"/>
  <c r="L65" i="10" s="1"/>
  <c r="D65" i="10"/>
  <c r="E65" i="10"/>
  <c r="C64" i="10"/>
  <c r="D64" i="10"/>
  <c r="E64" i="10"/>
  <c r="C63" i="10"/>
  <c r="D63" i="10"/>
  <c r="E63" i="10"/>
  <c r="C62" i="10"/>
  <c r="L62" i="10" s="1"/>
  <c r="D62" i="10"/>
  <c r="E62" i="10"/>
  <c r="C61" i="10"/>
  <c r="K61" i="10" s="1"/>
  <c r="D61" i="10"/>
  <c r="E61" i="10"/>
  <c r="C60" i="10"/>
  <c r="D60" i="10"/>
  <c r="E60" i="10"/>
  <c r="C59" i="10"/>
  <c r="L59" i="10" s="1"/>
  <c r="D59" i="10"/>
  <c r="E59" i="10"/>
  <c r="C58" i="10"/>
  <c r="K58" i="10" s="1"/>
  <c r="D58" i="10"/>
  <c r="E58" i="10"/>
  <c r="C57" i="10"/>
  <c r="L57" i="10" s="1"/>
  <c r="D57" i="10"/>
  <c r="E57" i="10"/>
  <c r="C56" i="10"/>
  <c r="L56" i="10" s="1"/>
  <c r="D56" i="10"/>
  <c r="E56" i="10"/>
  <c r="C55" i="10"/>
  <c r="K55" i="10" s="1"/>
  <c r="D55" i="10"/>
  <c r="E55" i="10"/>
  <c r="C54" i="10"/>
  <c r="L54" i="10" s="1"/>
  <c r="D54" i="10"/>
  <c r="E54" i="10"/>
  <c r="D53" i="10"/>
  <c r="E53" i="10"/>
  <c r="C53" i="10"/>
  <c r="B53" i="10" s="1"/>
  <c r="D41" i="7"/>
  <c r="D39" i="7"/>
  <c r="D32" i="7"/>
  <c r="D33" i="7"/>
  <c r="D34" i="7"/>
  <c r="D31" i="7"/>
  <c r="D24" i="7"/>
  <c r="D25" i="7"/>
  <c r="D26" i="7"/>
  <c r="D23" i="7"/>
  <c r="D18" i="7"/>
  <c r="D15" i="7"/>
  <c r="D16" i="7"/>
  <c r="D17" i="7"/>
  <c r="D14" i="7"/>
  <c r="D7" i="7"/>
  <c r="D8" i="7"/>
  <c r="D9" i="7"/>
  <c r="D6" i="7"/>
  <c r="B9" i="7"/>
  <c r="B7" i="7"/>
  <c r="B8" i="7"/>
  <c r="B6" i="7"/>
  <c r="B40" i="7"/>
  <c r="B41" i="7"/>
  <c r="B39" i="7"/>
  <c r="B32" i="7"/>
  <c r="B33" i="7"/>
  <c r="B34" i="7"/>
  <c r="B31" i="7"/>
  <c r="B24" i="7"/>
  <c r="B25" i="7"/>
  <c r="B26" i="7"/>
  <c r="B23" i="7"/>
  <c r="B15" i="7"/>
  <c r="B16" i="7"/>
  <c r="B17" i="7"/>
  <c r="B18" i="7"/>
  <c r="B14" i="7"/>
  <c r="G45" i="10"/>
  <c r="H45" i="10" s="1"/>
  <c r="C45" i="10"/>
  <c r="D45" i="10"/>
  <c r="E45" i="10"/>
  <c r="C44" i="10"/>
  <c r="D44" i="10"/>
  <c r="E44" i="10"/>
  <c r="C43" i="10"/>
  <c r="D43" i="10"/>
  <c r="E43" i="10"/>
  <c r="C42" i="10"/>
  <c r="L42" i="10" s="1"/>
  <c r="D42" i="10"/>
  <c r="E42" i="10"/>
  <c r="C41" i="10"/>
  <c r="D41" i="10"/>
  <c r="E41" i="10"/>
  <c r="C40" i="10"/>
  <c r="L40" i="10" s="1"/>
  <c r="D40" i="10"/>
  <c r="E40" i="10"/>
  <c r="C39" i="10"/>
  <c r="K39" i="10" s="1"/>
  <c r="D39" i="10"/>
  <c r="E39" i="10"/>
  <c r="C38" i="10"/>
  <c r="L38" i="10" s="1"/>
  <c r="D38" i="10"/>
  <c r="E38" i="10"/>
  <c r="C37" i="10"/>
  <c r="L37" i="10" s="1"/>
  <c r="D37" i="10"/>
  <c r="E37" i="10"/>
  <c r="C36" i="10"/>
  <c r="L36" i="10" s="1"/>
  <c r="D36" i="10"/>
  <c r="E36" i="10"/>
  <c r="C35" i="10"/>
  <c r="L35" i="10" s="1"/>
  <c r="D35" i="10"/>
  <c r="E35" i="10"/>
  <c r="C34" i="10"/>
  <c r="L34" i="10" s="1"/>
  <c r="D34" i="10"/>
  <c r="E34" i="10"/>
  <c r="C33" i="10"/>
  <c r="K33" i="10" s="1"/>
  <c r="D33" i="10"/>
  <c r="E33" i="10"/>
  <c r="C32" i="10"/>
  <c r="K32" i="10" s="1"/>
  <c r="D32" i="10"/>
  <c r="E32" i="10"/>
  <c r="D31" i="10"/>
  <c r="E31" i="10"/>
  <c r="C31" i="10"/>
  <c r="K31" i="10" s="1"/>
  <c r="J9" i="10"/>
  <c r="G23" i="10"/>
  <c r="H23" i="10" s="1"/>
  <c r="I23" i="10" s="1"/>
  <c r="B104" i="10" l="1"/>
  <c r="F104" i="10" s="1"/>
  <c r="G104" i="10" s="1"/>
  <c r="K106" i="10"/>
  <c r="H102" i="10"/>
  <c r="I102" i="10" s="1"/>
  <c r="K107" i="10"/>
  <c r="H101" i="10"/>
  <c r="I101" i="10" s="1"/>
  <c r="H104" i="10"/>
  <c r="I104" i="10" s="1"/>
  <c r="K105" i="10"/>
  <c r="H103" i="10"/>
  <c r="I103" i="10" s="1"/>
  <c r="H99" i="10"/>
  <c r="I99" i="10" s="1"/>
  <c r="H100" i="10"/>
  <c r="I100" i="10" s="1"/>
  <c r="H98" i="10"/>
  <c r="I98" i="10" s="1"/>
  <c r="H97" i="10"/>
  <c r="I97" i="10" s="1"/>
  <c r="L55" i="10"/>
  <c r="K56" i="10"/>
  <c r="K64" i="10"/>
  <c r="K65" i="10"/>
  <c r="K63" i="10"/>
  <c r="K57" i="10"/>
  <c r="K66" i="10"/>
  <c r="L58" i="10"/>
  <c r="K59" i="10"/>
  <c r="B54" i="10"/>
  <c r="F53" i="10"/>
  <c r="G53" i="10" s="1"/>
  <c r="H53" i="10" s="1"/>
  <c r="K60" i="10"/>
  <c r="K43" i="10"/>
  <c r="K35" i="10"/>
  <c r="L53" i="10"/>
  <c r="L61" i="10"/>
  <c r="K53" i="10"/>
  <c r="K54" i="10"/>
  <c r="K62" i="10"/>
  <c r="L39" i="10"/>
  <c r="K34" i="10"/>
  <c r="K36" i="10"/>
  <c r="K40" i="10"/>
  <c r="K44" i="10"/>
  <c r="L32" i="10"/>
  <c r="L33" i="10"/>
  <c r="K37" i="10"/>
  <c r="K41" i="10"/>
  <c r="K45" i="10"/>
  <c r="L31" i="10"/>
  <c r="B31" i="10"/>
  <c r="K38" i="10"/>
  <c r="K42" i="10"/>
  <c r="B105" i="10" l="1"/>
  <c r="B55" i="10"/>
  <c r="F54" i="10"/>
  <c r="G54" i="10" s="1"/>
  <c r="B32" i="10"/>
  <c r="F31" i="10"/>
  <c r="G31" i="10" s="1"/>
  <c r="H31" i="10" s="1"/>
  <c r="F105" i="10" l="1"/>
  <c r="B106" i="10"/>
  <c r="B56" i="10"/>
  <c r="F55" i="10"/>
  <c r="G55" i="10" s="1"/>
  <c r="H55" i="10" s="1"/>
  <c r="H54" i="10"/>
  <c r="B33" i="10"/>
  <c r="F32" i="10"/>
  <c r="G32" i="10" s="1"/>
  <c r="H32" i="10" s="1"/>
  <c r="B107" i="10" l="1"/>
  <c r="B108" i="10" s="1"/>
  <c r="F106" i="10"/>
  <c r="B57" i="10"/>
  <c r="F56" i="10"/>
  <c r="G56" i="10" s="1"/>
  <c r="B34" i="10"/>
  <c r="F33" i="10"/>
  <c r="G33" i="10" s="1"/>
  <c r="H33" i="10" s="1"/>
  <c r="B58" i="10" l="1"/>
  <c r="F57" i="10"/>
  <c r="G57" i="10" s="1"/>
  <c r="H56" i="10"/>
  <c r="F34" i="10"/>
  <c r="G34" i="10" s="1"/>
  <c r="B35" i="10"/>
  <c r="B59" i="10" l="1"/>
  <c r="F58" i="10"/>
  <c r="G58" i="10" s="1"/>
  <c r="H57" i="10"/>
  <c r="B36" i="10"/>
  <c r="F35" i="10"/>
  <c r="G35" i="10" s="1"/>
  <c r="H35" i="10" s="1"/>
  <c r="H34" i="10"/>
  <c r="B60" i="10" l="1"/>
  <c r="F59" i="10"/>
  <c r="G59" i="10" s="1"/>
  <c r="H59" i="10" s="1"/>
  <c r="H58" i="10"/>
  <c r="F36" i="10"/>
  <c r="G36" i="10" s="1"/>
  <c r="H36" i="10" s="1"/>
  <c r="B37" i="10"/>
  <c r="B61" i="10" l="1"/>
  <c r="F60" i="10"/>
  <c r="B38" i="10"/>
  <c r="F37" i="10"/>
  <c r="G37" i="10" s="1"/>
  <c r="H37" i="10" s="1"/>
  <c r="B62" i="10" l="1"/>
  <c r="F61" i="10"/>
  <c r="F38" i="10"/>
  <c r="G38" i="10" s="1"/>
  <c r="H38" i="10" s="1"/>
  <c r="B39" i="10"/>
  <c r="B63" i="10" l="1"/>
  <c r="F62" i="10"/>
  <c r="F39" i="10"/>
  <c r="G39" i="10" s="1"/>
  <c r="H39" i="10" s="1"/>
  <c r="B40" i="10"/>
  <c r="B64" i="10" l="1"/>
  <c r="F63" i="10"/>
  <c r="F40" i="10"/>
  <c r="G40" i="10" s="1"/>
  <c r="H40" i="10" s="1"/>
  <c r="B41" i="10"/>
  <c r="B65" i="10" l="1"/>
  <c r="F64" i="10"/>
  <c r="B42" i="10"/>
  <c r="F41" i="10"/>
  <c r="B66" i="10" l="1"/>
  <c r="F65" i="10"/>
  <c r="G65" i="10" s="1"/>
  <c r="B43" i="10"/>
  <c r="F42" i="10"/>
  <c r="B67" i="10" l="1"/>
  <c r="F66" i="10"/>
  <c r="G66" i="10" s="1"/>
  <c r="H66" i="10" s="1"/>
  <c r="G64" i="10"/>
  <c r="B44" i="10"/>
  <c r="F43" i="10"/>
  <c r="G43" i="10" s="1"/>
  <c r="G42" i="10" s="1"/>
  <c r="H65" i="10" l="1"/>
  <c r="G63" i="10"/>
  <c r="G62" i="10" s="1"/>
  <c r="G61" i="10" s="1"/>
  <c r="B45" i="10"/>
  <c r="F44" i="10"/>
  <c r="G44" i="10" s="1"/>
  <c r="H44" i="10" s="1"/>
  <c r="G41" i="10"/>
  <c r="H43" i="10"/>
  <c r="H62" i="10" l="1"/>
  <c r="G60" i="10"/>
  <c r="H64" i="10"/>
  <c r="H63" i="10"/>
  <c r="H42" i="10"/>
  <c r="H41" i="10"/>
  <c r="H61" i="10" l="1"/>
  <c r="H60" i="10"/>
  <c r="C23" i="10"/>
  <c r="D23" i="10"/>
  <c r="E23" i="10"/>
  <c r="C22" i="10"/>
  <c r="D22" i="10"/>
  <c r="E22" i="10"/>
  <c r="C21" i="10"/>
  <c r="D21" i="10"/>
  <c r="E21" i="10"/>
  <c r="C20" i="10"/>
  <c r="D20" i="10"/>
  <c r="E20" i="10"/>
  <c r="C19" i="10"/>
  <c r="D19" i="10"/>
  <c r="E19" i="10"/>
  <c r="C18" i="10"/>
  <c r="D18" i="10"/>
  <c r="E18" i="10"/>
  <c r="C17" i="10"/>
  <c r="D17" i="10"/>
  <c r="E17" i="10"/>
  <c r="C16" i="10"/>
  <c r="D16" i="10"/>
  <c r="E16" i="10"/>
  <c r="C15" i="10"/>
  <c r="D15" i="10"/>
  <c r="E15" i="10"/>
  <c r="C14" i="10"/>
  <c r="D14" i="10"/>
  <c r="E14" i="10"/>
  <c r="C13" i="10"/>
  <c r="D13" i="10"/>
  <c r="E13" i="10"/>
  <c r="C12" i="10"/>
  <c r="D12" i="10"/>
  <c r="E12" i="10"/>
  <c r="C11" i="10"/>
  <c r="D11" i="10"/>
  <c r="E11" i="10"/>
  <c r="C10" i="10"/>
  <c r="D10" i="10"/>
  <c r="E10" i="10"/>
  <c r="D9" i="10"/>
  <c r="E9" i="10"/>
  <c r="C9" i="10"/>
  <c r="L16" i="10" l="1"/>
  <c r="K16" i="10"/>
  <c r="B9" i="10"/>
  <c r="L9" i="10"/>
  <c r="K9" i="10"/>
  <c r="L11" i="10"/>
  <c r="K11" i="10"/>
  <c r="K14" i="10"/>
  <c r="L17" i="10"/>
  <c r="K17" i="10"/>
  <c r="K12" i="10"/>
  <c r="L12" i="10"/>
  <c r="K20" i="10"/>
  <c r="K19" i="10"/>
  <c r="L15" i="10"/>
  <c r="K15" i="10"/>
  <c r="K23" i="10"/>
  <c r="K18" i="10"/>
  <c r="K22" i="10"/>
  <c r="L10" i="10"/>
  <c r="K10" i="10"/>
  <c r="L13" i="10"/>
  <c r="K13" i="10"/>
  <c r="K21" i="10"/>
  <c r="B10" i="10" l="1"/>
  <c r="F9" i="10"/>
  <c r="G9" i="10" s="1"/>
  <c r="H9" i="10" l="1"/>
  <c r="I9" i="10" s="1"/>
  <c r="B11" i="10"/>
  <c r="F10" i="10"/>
  <c r="G10" i="10" s="1"/>
  <c r="B12" i="10" l="1"/>
  <c r="F11" i="10"/>
  <c r="G11" i="10" s="1"/>
  <c r="H10" i="10"/>
  <c r="I10" i="10" s="1"/>
  <c r="B13" i="10" l="1"/>
  <c r="F12" i="10"/>
  <c r="G12" i="10" s="1"/>
  <c r="H11" i="10"/>
  <c r="I11" i="10" s="1"/>
  <c r="B14" i="10" l="1"/>
  <c r="F13" i="10"/>
  <c r="G13" i="10" s="1"/>
  <c r="H12" i="10"/>
  <c r="I12" i="10" s="1"/>
  <c r="B15" i="10" l="1"/>
  <c r="F14" i="10"/>
  <c r="H13" i="10"/>
  <c r="I13" i="10" s="1"/>
  <c r="B16" i="10" l="1"/>
  <c r="F15" i="10"/>
  <c r="B17" i="10" l="1"/>
  <c r="F16" i="10"/>
  <c r="B18" i="10" l="1"/>
  <c r="F17" i="10"/>
  <c r="B19" i="10" l="1"/>
  <c r="F18" i="10"/>
  <c r="B20" i="10" l="1"/>
  <c r="F19" i="10"/>
  <c r="B21" i="10" l="1"/>
  <c r="F20" i="10"/>
  <c r="B22" i="10" l="1"/>
  <c r="F21" i="10"/>
  <c r="B23" i="10" l="1"/>
  <c r="F22" i="10"/>
  <c r="G22" i="10" s="1"/>
  <c r="G21" i="10" s="1"/>
  <c r="G20" i="10" s="1"/>
  <c r="G19" i="10" s="1"/>
  <c r="H20" i="10" l="1"/>
  <c r="I20" i="10" s="1"/>
  <c r="G18" i="10"/>
  <c r="G17" i="10" s="1"/>
  <c r="H22" i="10"/>
  <c r="I22" i="10" s="1"/>
  <c r="H21" i="10"/>
  <c r="I21" i="10" s="1"/>
  <c r="H19" i="10" l="1"/>
  <c r="I19" i="10" s="1"/>
  <c r="G16" i="10"/>
  <c r="H18" i="10"/>
  <c r="I18" i="10" s="1"/>
  <c r="B63" i="5"/>
  <c r="C63" i="5"/>
  <c r="C62" i="5"/>
  <c r="B62" i="5"/>
  <c r="C61" i="5"/>
  <c r="B61" i="5"/>
  <c r="C60" i="5"/>
  <c r="B60" i="5"/>
  <c r="C59" i="5"/>
  <c r="B59" i="5"/>
  <c r="C58" i="5"/>
  <c r="B58" i="5"/>
  <c r="C57" i="5"/>
  <c r="B57" i="5"/>
  <c r="C56" i="5"/>
  <c r="B56" i="5"/>
  <c r="C55" i="5"/>
  <c r="B55" i="5"/>
  <c r="C54" i="5"/>
  <c r="B54" i="5"/>
  <c r="C53" i="5"/>
  <c r="B53" i="5"/>
  <c r="C52" i="5"/>
  <c r="B52" i="5"/>
  <c r="C51" i="5"/>
  <c r="B51" i="5"/>
  <c r="C50" i="5"/>
  <c r="B50" i="5"/>
  <c r="C49" i="5"/>
  <c r="B49" i="5"/>
  <c r="C48" i="5"/>
  <c r="B48" i="5"/>
  <c r="E89" i="10" l="1"/>
  <c r="C88" i="10"/>
  <c r="K88" i="10" s="1"/>
  <c r="E86" i="10"/>
  <c r="D83" i="10"/>
  <c r="C80" i="10"/>
  <c r="E78" i="10"/>
  <c r="E75" i="10"/>
  <c r="D40" i="7"/>
  <c r="E83" i="10"/>
  <c r="C75" i="10"/>
  <c r="D88" i="10"/>
  <c r="C85" i="10"/>
  <c r="K85" i="10" s="1"/>
  <c r="E88" i="10"/>
  <c r="D85" i="10"/>
  <c r="C82" i="10"/>
  <c r="E80" i="10"/>
  <c r="D77" i="10"/>
  <c r="E85" i="10"/>
  <c r="D82" i="10"/>
  <c r="C79" i="10"/>
  <c r="E77" i="10"/>
  <c r="C84" i="10"/>
  <c r="E82" i="10"/>
  <c r="D79" i="10"/>
  <c r="C87" i="10"/>
  <c r="D87" i="10"/>
  <c r="E87" i="10"/>
  <c r="D84" i="10"/>
  <c r="C81" i="10"/>
  <c r="E79" i="10"/>
  <c r="D76" i="10"/>
  <c r="C77" i="10"/>
  <c r="D89" i="10"/>
  <c r="K89" i="10" s="1"/>
  <c r="C86" i="10"/>
  <c r="E84" i="10"/>
  <c r="D81" i="10"/>
  <c r="C78" i="10"/>
  <c r="E76" i="10"/>
  <c r="D86" i="10"/>
  <c r="C83" i="10"/>
  <c r="E81" i="10"/>
  <c r="D78" i="10"/>
  <c r="D75" i="10"/>
  <c r="D80" i="10"/>
  <c r="C76" i="10"/>
  <c r="H17" i="10"/>
  <c r="I17" i="10" s="1"/>
  <c r="G15" i="10"/>
  <c r="I45" i="10"/>
  <c r="K83" i="10" l="1"/>
  <c r="L83" i="10"/>
  <c r="L84" i="10"/>
  <c r="K84" i="10"/>
  <c r="L77" i="10"/>
  <c r="K77" i="10"/>
  <c r="K82" i="10"/>
  <c r="L82" i="10"/>
  <c r="L76" i="10"/>
  <c r="K76" i="10"/>
  <c r="L78" i="10"/>
  <c r="K78" i="10"/>
  <c r="L81" i="10"/>
  <c r="K81" i="10"/>
  <c r="L80" i="10"/>
  <c r="K80" i="10"/>
  <c r="K79" i="10"/>
  <c r="L79" i="10"/>
  <c r="K75" i="10"/>
  <c r="B75" i="10"/>
  <c r="L75" i="10"/>
  <c r="K86" i="10"/>
  <c r="L86" i="10"/>
  <c r="K87" i="10"/>
  <c r="L87" i="10"/>
  <c r="H16" i="10"/>
  <c r="I16" i="10" s="1"/>
  <c r="G14" i="10"/>
  <c r="O102" i="10"/>
  <c r="J97" i="10"/>
  <c r="O15" i="10"/>
  <c r="J75" i="10"/>
  <c r="I67" i="10"/>
  <c r="O58" i="10"/>
  <c r="J53" i="10"/>
  <c r="O36" i="10"/>
  <c r="J31" i="10"/>
  <c r="B76" i="10" l="1"/>
  <c r="F75" i="10"/>
  <c r="G75" i="10" s="1"/>
  <c r="H75" i="10" s="1"/>
  <c r="I75" i="10" s="1"/>
  <c r="H14" i="10"/>
  <c r="I14" i="10" s="1"/>
  <c r="H15" i="10"/>
  <c r="I15" i="10" s="1"/>
  <c r="D110" i="10"/>
  <c r="D25" i="10"/>
  <c r="F23" i="10" s="1"/>
  <c r="D69" i="10"/>
  <c r="F67" i="10" s="1"/>
  <c r="D91" i="10"/>
  <c r="D47" i="10"/>
  <c r="F45" i="10" s="1"/>
  <c r="B77" i="10" l="1"/>
  <c r="F76" i="10"/>
  <c r="G76" i="10" s="1"/>
  <c r="H76" i="10" s="1"/>
  <c r="I76" i="10" s="1"/>
  <c r="I54" i="10"/>
  <c r="I53" i="10"/>
  <c r="I31" i="10"/>
  <c r="B78" i="10" l="1"/>
  <c r="F77" i="10"/>
  <c r="G77" i="10" s="1"/>
  <c r="H77" i="10" s="1"/>
  <c r="I77" i="10" s="1"/>
  <c r="I32" i="10"/>
  <c r="F78" i="10" l="1"/>
  <c r="G78" i="10" s="1"/>
  <c r="H78" i="10" s="1"/>
  <c r="I78" i="10" s="1"/>
  <c r="B79" i="10"/>
  <c r="I55" i="10"/>
  <c r="I33" i="10"/>
  <c r="B80" i="10" l="1"/>
  <c r="F79" i="10"/>
  <c r="G79" i="10" s="1"/>
  <c r="H79" i="10" s="1"/>
  <c r="I79" i="10" s="1"/>
  <c r="I56" i="10"/>
  <c r="B81" i="10" l="1"/>
  <c r="F80" i="10"/>
  <c r="G80" i="10" s="1"/>
  <c r="H80" i="10" s="1"/>
  <c r="I80" i="10" s="1"/>
  <c r="F107" i="10"/>
  <c r="G107" i="10" s="1"/>
  <c r="I58" i="10"/>
  <c r="I57" i="10"/>
  <c r="B82" i="10" l="1"/>
  <c r="F81" i="10"/>
  <c r="G81" i="10" s="1"/>
  <c r="H81" i="10" s="1"/>
  <c r="I81" i="10" s="1"/>
  <c r="G106" i="10"/>
  <c r="G105" i="10" s="1"/>
  <c r="H105" i="10" s="1"/>
  <c r="I105" i="10" s="1"/>
  <c r="F108" i="10"/>
  <c r="G108" i="10" s="1"/>
  <c r="H108" i="10" s="1"/>
  <c r="I108" i="10" s="1"/>
  <c r="B83" i="10" l="1"/>
  <c r="F82" i="10"/>
  <c r="G82" i="10" s="1"/>
  <c r="H82" i="10" s="1"/>
  <c r="I82" i="10" s="1"/>
  <c r="H107" i="10"/>
  <c r="I107" i="10" s="1"/>
  <c r="H106" i="10"/>
  <c r="I106" i="10" s="1"/>
  <c r="I41" i="10"/>
  <c r="I66" i="10"/>
  <c r="B84" i="10" l="1"/>
  <c r="F83" i="10"/>
  <c r="G83" i="10" s="1"/>
  <c r="H83" i="10" s="1"/>
  <c r="I83" i="10" s="1"/>
  <c r="I110" i="10"/>
  <c r="J110" i="10" s="1"/>
  <c r="I44" i="10"/>
  <c r="I40" i="10"/>
  <c r="I43" i="10"/>
  <c r="I42" i="10"/>
  <c r="I65" i="10"/>
  <c r="B85" i="10" l="1"/>
  <c r="F84" i="10"/>
  <c r="G84" i="10" s="1"/>
  <c r="L107" i="10"/>
  <c r="L104" i="10"/>
  <c r="L106" i="10"/>
  <c r="L105" i="10"/>
  <c r="L108" i="10"/>
  <c r="I38" i="10"/>
  <c r="I64" i="10"/>
  <c r="P99" i="10"/>
  <c r="P97" i="10"/>
  <c r="P100" i="10"/>
  <c r="P98" i="10"/>
  <c r="H84" i="10" l="1"/>
  <c r="I84" i="10" s="1"/>
  <c r="B86" i="10"/>
  <c r="F85" i="10"/>
  <c r="P102" i="10"/>
  <c r="Q100" i="10" s="1"/>
  <c r="I39" i="10"/>
  <c r="I37" i="10"/>
  <c r="I63" i="10"/>
  <c r="B87" i="10" l="1"/>
  <c r="F86" i="10"/>
  <c r="Q99" i="10"/>
  <c r="R99" i="10" s="1"/>
  <c r="S99" i="10" s="1"/>
  <c r="Q97" i="10"/>
  <c r="R97" i="10" s="1"/>
  <c r="Q98" i="10"/>
  <c r="R98" i="10" s="1"/>
  <c r="S98" i="10" s="1"/>
  <c r="R100" i="10"/>
  <c r="S100" i="10" s="1"/>
  <c r="I60" i="10"/>
  <c r="I59" i="10"/>
  <c r="I36" i="10"/>
  <c r="I62" i="10"/>
  <c r="I61" i="10"/>
  <c r="B88" i="10" l="1"/>
  <c r="F87" i="10"/>
  <c r="G87" i="10" s="1"/>
  <c r="G86" i="10" s="1"/>
  <c r="R102" i="10"/>
  <c r="S102" i="10" s="1"/>
  <c r="S97" i="10"/>
  <c r="I25" i="10"/>
  <c r="J25" i="10" s="1"/>
  <c r="L18" i="10" s="1"/>
  <c r="I34" i="10"/>
  <c r="I35" i="10"/>
  <c r="T99" i="10"/>
  <c r="T98" i="10"/>
  <c r="I69" i="10"/>
  <c r="J69" i="10" s="1"/>
  <c r="L64" i="10" s="1"/>
  <c r="H87" i="10" l="1"/>
  <c r="I87" i="10" s="1"/>
  <c r="G85" i="10"/>
  <c r="B89" i="10"/>
  <c r="F88" i="10"/>
  <c r="G88" i="10" s="1"/>
  <c r="H88" i="10" s="1"/>
  <c r="I88" i="10" s="1"/>
  <c r="L22" i="10"/>
  <c r="L20" i="10"/>
  <c r="L60" i="10"/>
  <c r="L63" i="10"/>
  <c r="L66" i="10"/>
  <c r="L67" i="10"/>
  <c r="L14" i="10"/>
  <c r="L19" i="10"/>
  <c r="L21" i="10"/>
  <c r="L23" i="10"/>
  <c r="I47" i="10"/>
  <c r="J47" i="10" s="1"/>
  <c r="L43" i="10" s="1"/>
  <c r="T100" i="10"/>
  <c r="T97" i="10"/>
  <c r="P56" i="10"/>
  <c r="P55" i="10"/>
  <c r="P54" i="10"/>
  <c r="P53" i="10"/>
  <c r="P9" i="10"/>
  <c r="P10" i="10"/>
  <c r="P12" i="10"/>
  <c r="P13" i="10"/>
  <c r="P11" i="10"/>
  <c r="H86" i="10" l="1"/>
  <c r="I86" i="10" s="1"/>
  <c r="H85" i="10"/>
  <c r="I85" i="10" s="1"/>
  <c r="I91" i="10" s="1"/>
  <c r="J91" i="10" s="1"/>
  <c r="L89" i="10" s="1"/>
  <c r="F89" i="10"/>
  <c r="L41" i="10"/>
  <c r="L44" i="10"/>
  <c r="L45" i="10"/>
  <c r="P15" i="10"/>
  <c r="Q13" i="10" s="1"/>
  <c r="U98" i="10"/>
  <c r="Y98" i="10" s="1"/>
  <c r="U100" i="10"/>
  <c r="V100" i="10" s="1"/>
  <c r="U99" i="10"/>
  <c r="Y99" i="10" s="1"/>
  <c r="U97" i="10"/>
  <c r="P58" i="10"/>
  <c r="P33" i="10"/>
  <c r="P32" i="10"/>
  <c r="P31" i="10"/>
  <c r="P34" i="10"/>
  <c r="P75" i="10"/>
  <c r="L88" i="10" l="1"/>
  <c r="L85" i="10"/>
  <c r="Q12" i="10"/>
  <c r="R12" i="10" s="1"/>
  <c r="T12" i="10" s="1"/>
  <c r="Q10" i="10"/>
  <c r="R10" i="10" s="1"/>
  <c r="T10" i="10" s="1"/>
  <c r="Q9" i="10"/>
  <c r="R9" i="10" s="1"/>
  <c r="T9" i="10" s="1"/>
  <c r="Q11" i="10"/>
  <c r="R11" i="10" s="1"/>
  <c r="T11" i="10" s="1"/>
  <c r="R13" i="10"/>
  <c r="S13" i="10" s="1"/>
  <c r="P36" i="10"/>
  <c r="Q31" i="10" s="1"/>
  <c r="Y100" i="10"/>
  <c r="V98" i="10"/>
  <c r="V99" i="10"/>
  <c r="V97" i="10"/>
  <c r="U102" i="10"/>
  <c r="Y97" i="10"/>
  <c r="Q55" i="10"/>
  <c r="Q54" i="10"/>
  <c r="Q53" i="10"/>
  <c r="Q56" i="10"/>
  <c r="P76" i="10"/>
  <c r="P77" i="10"/>
  <c r="P79" i="10" l="1"/>
  <c r="S12" i="10"/>
  <c r="S11" i="10"/>
  <c r="S9" i="10"/>
  <c r="R15" i="10"/>
  <c r="S15" i="10" s="1"/>
  <c r="S10" i="10"/>
  <c r="T13" i="10"/>
  <c r="U13" i="10" s="1"/>
  <c r="Q34" i="10"/>
  <c r="R34" i="10" s="1"/>
  <c r="S34" i="10" s="1"/>
  <c r="Q33" i="10"/>
  <c r="R33" i="10" s="1"/>
  <c r="S33" i="10" s="1"/>
  <c r="Q32" i="10"/>
  <c r="R32" i="10" s="1"/>
  <c r="S32" i="10" s="1"/>
  <c r="R31" i="10"/>
  <c r="Z102" i="10"/>
  <c r="Z97" i="10" s="1" a="1"/>
  <c r="Z97" i="10" s="1"/>
  <c r="W102" i="10"/>
  <c r="W97" i="10" s="1" a="1"/>
  <c r="W97" i="10" s="1"/>
  <c r="R53" i="10"/>
  <c r="S53" i="10" s="1"/>
  <c r="R56" i="10"/>
  <c r="T56" i="10" s="1"/>
  <c r="R54" i="10"/>
  <c r="T54" i="10" s="1"/>
  <c r="R55" i="10"/>
  <c r="S55" i="10" s="1"/>
  <c r="Q77" i="10" l="1"/>
  <c r="Q76" i="10"/>
  <c r="Q75" i="10"/>
  <c r="U9" i="10"/>
  <c r="Y9" i="10" s="1"/>
  <c r="U10" i="10"/>
  <c r="V10" i="10" s="1"/>
  <c r="U11" i="10"/>
  <c r="Y11" i="10" s="1"/>
  <c r="U12" i="10"/>
  <c r="Y12" i="10" s="1"/>
  <c r="X97" i="10"/>
  <c r="X98" i="10" s="1"/>
  <c r="X99" i="10" s="1"/>
  <c r="AA97" i="10"/>
  <c r="V13" i="10"/>
  <c r="Y13" i="10"/>
  <c r="S31" i="10"/>
  <c r="R36" i="10"/>
  <c r="S36" i="10" s="1"/>
  <c r="T32" i="10"/>
  <c r="U32" i="10" s="1"/>
  <c r="T33" i="10"/>
  <c r="U33" i="10" s="1"/>
  <c r="T34" i="10"/>
  <c r="U34" i="10" s="1"/>
  <c r="T31" i="10"/>
  <c r="S56" i="10"/>
  <c r="S54" i="10"/>
  <c r="T55" i="10"/>
  <c r="T53" i="10"/>
  <c r="R58" i="10"/>
  <c r="S58" i="10" s="1"/>
  <c r="R75" i="10" l="1"/>
  <c r="R79" i="10" s="1"/>
  <c r="S79" i="10" s="1"/>
  <c r="R76" i="10"/>
  <c r="S76" i="10" s="1"/>
  <c r="R77" i="10"/>
  <c r="S77" i="10" s="1"/>
  <c r="V11" i="10"/>
  <c r="V9" i="10"/>
  <c r="Y10" i="10"/>
  <c r="V12" i="10"/>
  <c r="U15" i="10"/>
  <c r="W15" i="10" s="1"/>
  <c r="W9" i="10" s="1" a="1"/>
  <c r="W9" i="10" s="1"/>
  <c r="AA98" i="10"/>
  <c r="AA99" i="10" s="1"/>
  <c r="X100" i="10"/>
  <c r="Y34" i="10"/>
  <c r="V34" i="10"/>
  <c r="Y33" i="10"/>
  <c r="V33" i="10"/>
  <c r="Y32" i="10"/>
  <c r="V32" i="10"/>
  <c r="U31" i="10"/>
  <c r="U55" i="10"/>
  <c r="U54" i="10"/>
  <c r="V54" i="10" s="1"/>
  <c r="U56" i="10"/>
  <c r="V56" i="10" s="1"/>
  <c r="U53" i="10"/>
  <c r="V53" i="10" s="1"/>
  <c r="S75" i="10" l="1"/>
  <c r="T77" i="10"/>
  <c r="U77" i="10" s="1"/>
  <c r="T76" i="10"/>
  <c r="U76" i="10" s="1"/>
  <c r="T75" i="10"/>
  <c r="Y55" i="10"/>
  <c r="V55" i="10"/>
  <c r="Z15" i="10"/>
  <c r="Z9" i="10" s="1" a="1"/>
  <c r="Z9" i="10" s="1"/>
  <c r="AA9" i="10" s="1"/>
  <c r="AA10" i="10" s="1"/>
  <c r="X9" i="10"/>
  <c r="X10" i="10" s="1"/>
  <c r="AA100" i="10"/>
  <c r="Y56" i="10"/>
  <c r="Y53" i="10"/>
  <c r="Y31" i="10"/>
  <c r="V31" i="10"/>
  <c r="U36" i="10"/>
  <c r="U58" i="10"/>
  <c r="Y54" i="10"/>
  <c r="Y76" i="10" l="1"/>
  <c r="V76" i="10"/>
  <c r="Y77" i="10"/>
  <c r="V77" i="10"/>
  <c r="U75" i="10"/>
  <c r="X12" i="10"/>
  <c r="AA11" i="10"/>
  <c r="AA13" i="10" s="1"/>
  <c r="X11" i="10"/>
  <c r="AA12" i="10"/>
  <c r="X13" i="10"/>
  <c r="W58" i="10"/>
  <c r="W53" i="10" s="1" a="1"/>
  <c r="W53" i="10" s="1"/>
  <c r="Z58" i="10"/>
  <c r="Z53" i="10" s="1" a="1"/>
  <c r="Z53" i="10" s="1"/>
  <c r="W36" i="10"/>
  <c r="W31" i="10" s="1" a="1"/>
  <c r="W31" i="10" s="1"/>
  <c r="Z36" i="10"/>
  <c r="Z31" i="10" s="1" a="1"/>
  <c r="Z31" i="10" s="1"/>
  <c r="Y75" i="10" l="1"/>
  <c r="V75" i="10"/>
  <c r="U79" i="10"/>
  <c r="AA53" i="10"/>
  <c r="AA54" i="10" s="1"/>
  <c r="AA56" i="10" s="1"/>
  <c r="X53" i="10"/>
  <c r="X54" i="10" s="1"/>
  <c r="X56" i="10" s="1"/>
  <c r="AA31" i="10"/>
  <c r="AA32" i="10" s="1"/>
  <c r="X31" i="10"/>
  <c r="Z75" i="10" l="1" a="1"/>
  <c r="Z75" i="10" s="1"/>
  <c r="W75" i="10" a="1"/>
  <c r="W75" i="10" s="1"/>
  <c r="W79" i="10"/>
  <c r="Z79" i="10"/>
  <c r="AA55" i="10"/>
  <c r="X55" i="10"/>
  <c r="X32" i="10"/>
  <c r="AA33" i="10"/>
  <c r="AA34" i="10" s="1"/>
  <c r="X76" i="10" l="1"/>
  <c r="X77" i="10"/>
  <c r="X75" i="10"/>
  <c r="AA76" i="10"/>
  <c r="AC76" i="10" s="1"/>
  <c r="AA77" i="10"/>
  <c r="AC77" i="10" s="1"/>
  <c r="AA75" i="10"/>
  <c r="AC75" i="10" s="1"/>
  <c r="X33" i="10"/>
  <c r="X34" i="10" s="1"/>
  <c r="AC56" i="10" l="1"/>
  <c r="AB56" i="10" l="1"/>
  <c r="AE56" i="10" s="1"/>
  <c r="C34" i="7" s="1"/>
  <c r="AC34" i="10" l="1"/>
  <c r="AB34" i="10" l="1"/>
  <c r="AE34" i="10" s="1"/>
  <c r="C26" i="7" s="1"/>
  <c r="AC54" i="10" l="1"/>
  <c r="AC55" i="10"/>
  <c r="AB12" i="10" l="1"/>
  <c r="AB55" i="10"/>
  <c r="AE55" i="10" s="1"/>
  <c r="C33" i="7" s="1"/>
  <c r="AB54" i="10"/>
  <c r="AE54" i="10" s="1"/>
  <c r="C32" i="7" s="1"/>
  <c r="AB75" i="10"/>
  <c r="AE75" i="10" s="1"/>
  <c r="AC99" i="10" l="1"/>
  <c r="AB99" i="10" s="1"/>
  <c r="AE99" i="10" s="1"/>
  <c r="C8" i="7" s="1"/>
  <c r="K34" i="7" s="1"/>
  <c r="AC12" i="10"/>
  <c r="AE12" i="10" s="1"/>
  <c r="C17" i="7" s="1"/>
  <c r="C39" i="7"/>
  <c r="AB76" i="10"/>
  <c r="AE76" i="10" s="1"/>
  <c r="C40" i="7" s="1"/>
  <c r="AC79" i="10"/>
  <c r="AB77" i="10"/>
  <c r="K33" i="7" l="1"/>
  <c r="K32" i="7"/>
  <c r="AB79" i="10"/>
  <c r="AE77" i="10"/>
  <c r="C41" i="7" s="1"/>
  <c r="AE79" i="10" l="1"/>
  <c r="C42" i="7" s="1"/>
  <c r="AC97" i="10" l="1"/>
  <c r="AC31" i="10"/>
  <c r="AB31" i="10" s="1"/>
  <c r="AE31" i="10" s="1"/>
  <c r="AC33" i="10"/>
  <c r="AB33" i="10" s="1"/>
  <c r="AE33" i="10" s="1"/>
  <c r="C25" i="7" s="1"/>
  <c r="AB97" i="10" l="1"/>
  <c r="AE97" i="10" s="1"/>
  <c r="C6" i="7" s="1"/>
  <c r="K17" i="7" s="1"/>
  <c r="AC98" i="10"/>
  <c r="C23" i="7"/>
  <c r="AB98" i="10" l="1"/>
  <c r="AE98" i="10" s="1"/>
  <c r="C7" i="7" s="1"/>
  <c r="AC32" i="10"/>
  <c r="AB32" i="10"/>
  <c r="AB36" i="10" s="1"/>
  <c r="AC36" i="10"/>
  <c r="AC53" i="10"/>
  <c r="AC58" i="10" s="1"/>
  <c r="K25" i="7" l="1"/>
  <c r="K26" i="7"/>
  <c r="K23" i="7"/>
  <c r="AE32" i="10"/>
  <c r="AB53" i="10"/>
  <c r="AE53" i="10" s="1"/>
  <c r="AE58" i="10" s="1"/>
  <c r="C35" i="7" s="1"/>
  <c r="AB58" i="10"/>
  <c r="C24" i="7" l="1"/>
  <c r="K24" i="7" s="1"/>
  <c r="AE36" i="10"/>
  <c r="C27" i="7" s="1"/>
  <c r="C31" i="7"/>
  <c r="K31" i="7" s="1"/>
  <c r="AB13" i="10" l="1"/>
  <c r="AC13" i="10" l="1"/>
  <c r="AE13" i="10" s="1"/>
  <c r="C18" i="7" s="1"/>
  <c r="K18" i="7" s="1"/>
  <c r="AB11" i="10" l="1"/>
  <c r="AC11" i="10" l="1"/>
  <c r="AE11" i="10" s="1"/>
  <c r="C16" i="7" s="1"/>
  <c r="K16" i="7" s="1"/>
  <c r="AB10" i="10" l="1"/>
  <c r="AC10" i="10" s="1"/>
  <c r="AE10" i="10" s="1"/>
  <c r="C15" i="7" s="1"/>
  <c r="K15" i="7" s="1"/>
  <c r="AB9" i="10"/>
  <c r="AC9" i="10"/>
  <c r="AC15" i="10" s="1"/>
  <c r="AB15" i="10"/>
  <c r="AE9" i="10" l="1"/>
  <c r="AC100" i="10"/>
  <c r="AB100" i="10" s="1"/>
  <c r="AC102" i="10"/>
  <c r="C14" i="7" l="1"/>
  <c r="K14" i="7" s="1"/>
  <c r="AE15" i="10"/>
  <c r="C19" i="7" s="1"/>
  <c r="AB102" i="10"/>
  <c r="AE100" i="10"/>
  <c r="C9" i="7" l="1"/>
  <c r="AE102" i="10"/>
  <c r="C10" i="7" s="1"/>
  <c r="K41" i="7" l="1"/>
  <c r="K39" i="7"/>
  <c r="K40" i="7"/>
  <c r="K42"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<sst xmlns="http://schemas.openxmlformats.org/spreadsheetml/2006/main" count="408" uniqueCount="190">
  <si>
    <t>Critères</t>
  </si>
  <si>
    <t>Moyen d'évaluation</t>
  </si>
  <si>
    <t>Description</t>
  </si>
  <si>
    <t>Intérêt</t>
  </si>
  <si>
    <t>Facilité d’intégration au bâti existant</t>
  </si>
  <si>
    <t>Impact sur le coût pour le locataire</t>
  </si>
  <si>
    <t>Esthétique et encombrement</t>
  </si>
  <si>
    <t>Estimer les potentielles réductions du coût de mise en œuvre liées à l’utilisation des différentes technologies. Ces aides peuvent avoir un fort impact sur le coût d’investissement pour le bailleur mais également pour les locataires.</t>
  </si>
  <si>
    <t xml:space="preserve">La nécessité d’intervenir sur la structure, les réseaux de fluides, etc., peut être un véritable frein et engendrer des surcoûts et des durées d’intervention allongées. </t>
  </si>
  <si>
    <t>Permet d'évaluer la nécessité ou non de reloger les locataires pendant la période de travaux. Ce qui peut s'avérer très contraignant dans le cadre d'une opération de rénovation.</t>
  </si>
  <si>
    <t>Facilité d'entretien / Maintenance</t>
  </si>
  <si>
    <t>On préféra une solution où la charge de maintenance est moindre, au risque dans le cas contraire d’alourdir la facture des locataires et le bailleur et d'occasionner des gênes pour les utilisateurs finaux.</t>
  </si>
  <si>
    <t>Estimation en partie fournie par le BET puis calculée par un pourcentage de réduction de la facture énergétique du locataire en comparant la situation initiale à la situation rénovée.</t>
  </si>
  <si>
    <t>Lieu de production</t>
  </si>
  <si>
    <t>1. Economiques</t>
  </si>
  <si>
    <t>2. Techniques</t>
  </si>
  <si>
    <t>3. Sociaux</t>
  </si>
  <si>
    <t>4. Environnementaux</t>
  </si>
  <si>
    <t>Permet de comparer les solutions vis-à-vis de leurs coûts d'entretien et de maintenance pour l'entreprise.</t>
  </si>
  <si>
    <t>Estimation directement fournie par les études du BET.</t>
  </si>
  <si>
    <t>Possibilité d'aides financières et subventions particulières</t>
  </si>
  <si>
    <t>Ce critère a pour but de considérer les aides financières et subventions dont pourrait bénéficier l’entreprise ou le bailleur lors de la mise en place de la solution considérée. L'objectif étant simplement d'identifier s'il existe ou non des subventions particulières</t>
  </si>
  <si>
    <t>Evaluer le niveau de rentabilité de l'action de rénovation du point de vu de la réduction des consommation énergétiques engendrée.</t>
  </si>
  <si>
    <t>Quel est le rapport entre le coût d'investissement pour la solution considéré et le gain en termes de réduction de consommation énergétique</t>
  </si>
  <si>
    <t>Calculé à partir des estimations fournies par le BET</t>
  </si>
  <si>
    <t>Critère qualitatif et consistant à comparer les différentes solutions entre elles à partir de la connaissance des composants de la solution envisagée.
Evaluation par une notation qui sera défini par comparaison subjective entre les solutions en considérant la + et la - contraignante.</t>
  </si>
  <si>
    <t>Evaluation à priori au regard de la solution considérée et en concertation avec les entreprises spécialisées. Critère binaire.</t>
  </si>
  <si>
    <t>Mise en œuvre en site occupé</t>
  </si>
  <si>
    <t>Evaluation qualitative par le biais des informations fournies par le BET et les entreprises partenaires. Evaluation par une notation qui sera défini par comparaison subjective entre les solutions en considérant la + et la - contraignante.</t>
  </si>
  <si>
    <t>Facilité de Comptage / Pilotage / Gestion de l'énergie</t>
  </si>
  <si>
    <t>Les systèmes évalués étant tous pilotables et automatisables à distance, on souhaite évaluer ici la facilité avec laquelle le système pourra être contrôlé et piloté et la facilité avec laquelle l'énergie produite et distribuée pourra être comptabilisée.</t>
  </si>
  <si>
    <t>Critère qualitatif qui compare les différents scénarios entre eux au regard des caractéristiques de leurs organes de régulation. 
Evaluation par une notation qui sera défini par comparaison subjective entre les solutions en considérant la + et la - contraignante.</t>
  </si>
  <si>
    <t>Niveau de confort acoustique</t>
  </si>
  <si>
    <t>Niveau de confort thermique</t>
  </si>
  <si>
    <t>Le confort du locataires est un point important du projet et passe par les aspects thermiques. Les solutions évaluées doivent, dans le pire des cas, ne pas détériorer le confort thermique des locataires par rapport à l'état initial.</t>
  </si>
  <si>
    <t>On s'interessera ici au mode de diffusion de la chaleur et sensations associées et à l'humidité de l'air. On pourra également s'appuyer sur les indices PMV (Predicted Mean Vote) et PPD (Predicted Percentage of Dissatisfied). Evaluation par une notation.</t>
  </si>
  <si>
    <t xml:space="preserve">Critère est essentiel malgrés son caractère abstrait et subjectif. Il refléte le confort thermique apparent potentiellement ressenti par les locataires au regard de la solution évaluée. </t>
  </si>
  <si>
    <t>Ce critère permet de prendre en compte les nuisances sonores que pourrait engendrer une solution du fait de ses composants et de son principe de fonctionnement.</t>
  </si>
  <si>
    <t>Le confort du locataires passe également par les aspects acoustiques. Une distinction entre les différents type de confort est essentiel pour construire des critères concis et juste.</t>
  </si>
  <si>
    <t>On s'interessera ici aux niveaux sonores des équipements installés que l'on pourra retrouver sur les fiches techniques des produits. On procède pour à une évaluation par notation.</t>
  </si>
  <si>
    <t>Evaluation de l'intégration pratique et esthétique d'une solution au sein du logement. On comparera ici l'aspect général et la taille du composant à installer ainsi que son emplacement dans le logement.</t>
  </si>
  <si>
    <t>Critère subjectif évalué à partir d'un étude sociologique sur le comportement et les attentes des locataires. Ce critère peut être évalué en exposant les scénarios possibles aux locataires et en relevant leurs préférences.</t>
  </si>
  <si>
    <t>N°</t>
  </si>
  <si>
    <r>
      <t>g</t>
    </r>
    <r>
      <rPr>
        <b/>
        <vertAlign val="subscript"/>
        <sz val="12"/>
        <color theme="1"/>
        <rFont val="Calibri"/>
        <family val="2"/>
        <scheme val="minor"/>
      </rPr>
      <t>1.1</t>
    </r>
  </si>
  <si>
    <r>
      <t>g</t>
    </r>
    <r>
      <rPr>
        <b/>
        <vertAlign val="subscript"/>
        <sz val="12"/>
        <color theme="1"/>
        <rFont val="Calibri"/>
        <family val="2"/>
        <scheme val="minor"/>
      </rPr>
      <t>2.1</t>
    </r>
  </si>
  <si>
    <r>
      <t>g</t>
    </r>
    <r>
      <rPr>
        <b/>
        <vertAlign val="subscript"/>
        <sz val="12"/>
        <color theme="1"/>
        <rFont val="Calibri"/>
        <family val="2"/>
        <scheme val="minor"/>
      </rPr>
      <t>3.1</t>
    </r>
  </si>
  <si>
    <r>
      <t>g</t>
    </r>
    <r>
      <rPr>
        <b/>
        <vertAlign val="subscript"/>
        <sz val="12"/>
        <color theme="1"/>
        <rFont val="Calibri"/>
        <family val="2"/>
        <scheme val="minor"/>
      </rPr>
      <t>4.1</t>
    </r>
  </si>
  <si>
    <t xml:space="preserve"> </t>
  </si>
  <si>
    <t>Ratio Z</t>
  </si>
  <si>
    <t>Détermination des pondérations par la méthode SRF (SIMOS révisée) - Projet INER</t>
  </si>
  <si>
    <t>La définition de chaque critère est donnée dans la feuille excel nommée "Critères".</t>
  </si>
  <si>
    <t xml:space="preserve">INFORMATIONS </t>
  </si>
  <si>
    <t>4. Classement des critères ENVIRONNEMENTAUX</t>
  </si>
  <si>
    <t>3. Classement des critères SOCIAUX</t>
  </si>
  <si>
    <t>1. Classement des critères ECONOMIQUES</t>
  </si>
  <si>
    <t>2. Classement des critères TECHNIQUES</t>
  </si>
  <si>
    <t>Définition des critères pris en compte dans la méthode MCDA</t>
  </si>
  <si>
    <t>NE PAS MODIFIER CETTE FEUILLE</t>
  </si>
  <si>
    <t>Critères ECONOMIQUES</t>
  </si>
  <si>
    <t>Critères TECHNIQUES</t>
  </si>
  <si>
    <t>Critères SOCIAUX</t>
  </si>
  <si>
    <t>Critères ENVIRONNEMENTAUX</t>
  </si>
  <si>
    <t>Coût d'investissement propriétaire</t>
  </si>
  <si>
    <t>Coût d'investissement (travaux (fourniture et pose) + honoraires + divers), pour l'entreprise, d'un scénario de rénovation comprenant la thermique du bâtiment et les systèmes de production et d'émission de chaleur.</t>
  </si>
  <si>
    <t>Permet de prendre en compte le coût d'investissement d’une solution afin d'évaluer la faisabilité économique vis-à-vis du budget attribué à l'opération.</t>
  </si>
  <si>
    <t>Coûts annuel relatifs aux opérations d'entretien et de maintenance (réparation, remplacements, consommables, …) liées au fonctionnement  du système et non répercutables sur les charges des locataires. Contrats d’exploitation et de maintenance de type P3.</t>
  </si>
  <si>
    <t>Difficile à évaluer précisément (voir avec mainteneurs et contrats de maintenances P3).</t>
  </si>
  <si>
    <t>Coût du remplacement des équipements arrivés en fin de vie sur la période ou coût de remplacement de composants important en coût sur la période</t>
  </si>
  <si>
    <t>Permet de mesurer le coût globale d"une solution et son impact sur la gestion d'une résidence</t>
  </si>
  <si>
    <t>Coût de réinvestissement sur une durée de 30 ans</t>
  </si>
  <si>
    <t>→ https://www.photovoltaique.info/fr/tarifs-dachat-et-autoconsommation/autres-aides-financieres/appels-a-projets-et-aides-regionales/#contexte
→ https://www.edf.fr/collectivites/le-mag/le-mag-collectivites/strategie-energetique-territoriale/autoconsommation-les-aides-disponibles-pour-les-collectivites</t>
  </si>
  <si>
    <t>Rentabilité énergétique de la solution</t>
  </si>
  <si>
    <t>Capacité de la solution à s'intégrer dans un bâtiment existant. Il peut s’agir de la nécessité d'avoir ou non besoin de locaux de taille suffisante disponible pour la mise en place d’un système, de la portance suffisante des toitures terrasses ou des façades ou encore de la facilité d’intégration architecturale. On évaluera aussi à travers ce critère la nécessité ou non de réaliser des percements et réservations, de tirer de nouveaux circuits hydrauliques et/ou électriques...</t>
  </si>
  <si>
    <t>Possibilité de réalisation des travaux et de mise en œuvre de la solution en site occupé. Faut-il reloger les locataires pour réaliser les travaux ?</t>
  </si>
  <si>
    <t>Facilités d'entretien du point de vu de la fréquence d'entretien, de l’accès aux systèmes sur le site et dans les bâtiments ou logements concernés, la disponibilité des entreprises chargées de l'entretien et de la maintenances ainsi que la disponibilité (matérielle et géographique) des éventuels pièces ou éléments de remplacement en cas de panne.</t>
  </si>
  <si>
    <t xml:space="preserve">Les systèmes ayant une action sur la régulation sont-ils simples à piloter (vannes, contacteur, régulateur de puissance...). Le comptage de l'énergie produite et fournit individuellement aux locataires est-il facile à réaliser. </t>
  </si>
  <si>
    <t>Déterminer le degrés d'esthétique d'une solution et la sensibilité, acceptation des locataires vis-à-vis de cette dernière et évaluer son potentiel d'intégration et sont encombrement dans le logement. Ces deux notions sont regroupées sous un critère unique car liées l'une à l'autre.</t>
  </si>
  <si>
    <t>L'objectif est de tenir compte de l'impact économique bénéfique pour le locataire des différentes solutions. Un des buts premier du projet étant de lutter contre la précarité énergétique.</t>
  </si>
  <si>
    <t xml:space="preserve">Energie économisée mesurée par rapport à l'état initiale.
</t>
  </si>
  <si>
    <t>Représente la distance géographique moyenne de production des composants de la solution considérées vis-à-vis du lieu de mise en œuvre.</t>
  </si>
  <si>
    <t>Permet de prendre en compte la provenance et le lieu de production des systèmes au regard des transports nécessaires pour acheminer la solution.</t>
  </si>
  <si>
    <r>
      <t>g</t>
    </r>
    <r>
      <rPr>
        <b/>
        <vertAlign val="subscript"/>
        <sz val="12"/>
        <color theme="1"/>
        <rFont val="Calibri"/>
        <family val="2"/>
        <scheme val="minor"/>
      </rPr>
      <t>2.2</t>
    </r>
    <r>
      <rPr>
        <sz val="11"/>
        <color theme="1"/>
        <rFont val="Calibri"/>
        <family val="2"/>
        <scheme val="minor"/>
      </rPr>
      <t/>
    </r>
  </si>
  <si>
    <r>
      <t>g</t>
    </r>
    <r>
      <rPr>
        <b/>
        <vertAlign val="subscript"/>
        <sz val="12"/>
        <color theme="1"/>
        <rFont val="Calibri"/>
        <family val="2"/>
        <scheme val="minor"/>
      </rPr>
      <t>2.3</t>
    </r>
    <r>
      <rPr>
        <sz val="11"/>
        <color theme="1"/>
        <rFont val="Calibri"/>
        <family val="2"/>
        <scheme val="minor"/>
      </rPr>
      <t/>
    </r>
  </si>
  <si>
    <r>
      <t>g</t>
    </r>
    <r>
      <rPr>
        <b/>
        <vertAlign val="subscript"/>
        <sz val="12"/>
        <color theme="1"/>
        <rFont val="Calibri"/>
        <family val="2"/>
        <scheme val="minor"/>
      </rPr>
      <t>2.4</t>
    </r>
    <r>
      <rPr>
        <sz val="11"/>
        <color theme="1"/>
        <rFont val="Calibri"/>
        <family val="2"/>
        <scheme val="minor"/>
      </rPr>
      <t/>
    </r>
  </si>
  <si>
    <r>
      <t>g</t>
    </r>
    <r>
      <rPr>
        <b/>
        <vertAlign val="subscript"/>
        <sz val="12"/>
        <color theme="1"/>
        <rFont val="Calibri"/>
        <family val="2"/>
        <scheme val="minor"/>
      </rPr>
      <t>3.2</t>
    </r>
    <r>
      <rPr>
        <sz val="11"/>
        <color theme="1"/>
        <rFont val="Calibri"/>
        <family val="2"/>
        <scheme val="minor"/>
      </rPr>
      <t/>
    </r>
  </si>
  <si>
    <r>
      <t>g</t>
    </r>
    <r>
      <rPr>
        <b/>
        <vertAlign val="subscript"/>
        <sz val="12"/>
        <color theme="1"/>
        <rFont val="Calibri"/>
        <family val="2"/>
        <scheme val="minor"/>
      </rPr>
      <t>3.3</t>
    </r>
    <r>
      <rPr>
        <sz val="11"/>
        <color theme="1"/>
        <rFont val="Calibri"/>
        <family val="2"/>
        <scheme val="minor"/>
      </rPr>
      <t/>
    </r>
  </si>
  <si>
    <r>
      <t>g</t>
    </r>
    <r>
      <rPr>
        <b/>
        <vertAlign val="subscript"/>
        <sz val="12"/>
        <color theme="1"/>
        <rFont val="Calibri"/>
        <family val="2"/>
        <scheme val="minor"/>
      </rPr>
      <t>3.4</t>
    </r>
    <r>
      <rPr>
        <sz val="11"/>
        <color theme="1"/>
        <rFont val="Calibri"/>
        <family val="2"/>
        <scheme val="minor"/>
      </rPr>
      <t/>
    </r>
  </si>
  <si>
    <r>
      <t>g</t>
    </r>
    <r>
      <rPr>
        <b/>
        <vertAlign val="subscript"/>
        <sz val="12"/>
        <color theme="1"/>
        <rFont val="Calibri"/>
        <family val="2"/>
        <scheme val="minor"/>
      </rPr>
      <t>4.2</t>
    </r>
    <r>
      <rPr>
        <sz val="11"/>
        <color theme="1"/>
        <rFont val="Calibri"/>
        <family val="2"/>
        <scheme val="minor"/>
      </rPr>
      <t/>
    </r>
  </si>
  <si>
    <r>
      <t>g</t>
    </r>
    <r>
      <rPr>
        <b/>
        <vertAlign val="subscript"/>
        <sz val="12"/>
        <color theme="1"/>
        <rFont val="Calibri"/>
        <family val="2"/>
        <scheme val="minor"/>
      </rPr>
      <t>4.3</t>
    </r>
    <r>
      <rPr>
        <sz val="11"/>
        <color theme="1"/>
        <rFont val="Calibri"/>
        <family val="2"/>
        <scheme val="minor"/>
      </rPr>
      <t/>
    </r>
  </si>
  <si>
    <t>Estimé à partir de la durée de vie du système et du coût d'invesstissement</t>
  </si>
  <si>
    <t>Critères Economiques</t>
  </si>
  <si>
    <t>Critères Environnementaux</t>
  </si>
  <si>
    <t>Critères Techniques</t>
  </si>
  <si>
    <t>Critères Sociaux</t>
  </si>
  <si>
    <r>
      <rPr>
        <b/>
        <sz val="11"/>
        <color theme="1"/>
        <rFont val="Calibri"/>
        <family val="2"/>
        <scheme val="minor"/>
      </rPr>
      <t>Les tableaux : 1.</t>
    </r>
    <r>
      <rPr>
        <sz val="11"/>
        <color theme="1"/>
        <rFont val="Calibri"/>
        <family val="2"/>
        <scheme val="minor"/>
      </rPr>
      <t xml:space="preserve"> [Les critères économiques] - </t>
    </r>
    <r>
      <rPr>
        <b/>
        <sz val="11"/>
        <color theme="1"/>
        <rFont val="Calibri"/>
        <family val="2"/>
        <scheme val="minor"/>
      </rPr>
      <t xml:space="preserve">2. </t>
    </r>
    <r>
      <rPr>
        <sz val="11"/>
        <color theme="1"/>
        <rFont val="Calibri"/>
        <family val="2"/>
        <scheme val="minor"/>
      </rPr>
      <t xml:space="preserve">[Les critères techniques] - </t>
    </r>
    <r>
      <rPr>
        <b/>
        <sz val="11"/>
        <color theme="1"/>
        <rFont val="Calibri"/>
        <family val="2"/>
        <scheme val="minor"/>
      </rPr>
      <t>3.</t>
    </r>
    <r>
      <rPr>
        <sz val="11"/>
        <color theme="1"/>
        <rFont val="Calibri"/>
        <family val="2"/>
        <scheme val="minor"/>
      </rPr>
      <t xml:space="preserve">[Les critères sociaux] - </t>
    </r>
    <r>
      <rPr>
        <b/>
        <sz val="11"/>
        <color theme="1"/>
        <rFont val="Calibri"/>
        <family val="2"/>
        <scheme val="minor"/>
      </rPr>
      <t>4.</t>
    </r>
    <r>
      <rPr>
        <sz val="11"/>
        <color theme="1"/>
        <rFont val="Calibri"/>
        <family val="2"/>
        <scheme val="minor"/>
      </rPr>
      <t xml:space="preserve"> [Les critères environnementaux] - </t>
    </r>
    <r>
      <rPr>
        <b/>
        <sz val="11"/>
        <color theme="1"/>
        <rFont val="Calibri"/>
        <family val="2"/>
        <scheme val="minor"/>
      </rPr>
      <t>5.</t>
    </r>
    <r>
      <rPr>
        <sz val="11"/>
        <color theme="1"/>
        <rFont val="Calibri"/>
        <family val="2"/>
        <scheme val="minor"/>
      </rPr>
      <t xml:space="preserve"> [Les 4 grandes catégories de critères pour les systèmes]</t>
    </r>
  </si>
  <si>
    <t>Rang</t>
  </si>
  <si>
    <t xml:space="preserve"> Plus important      </t>
  </si>
  <si>
    <t>Moins important</t>
  </si>
  <si>
    <r>
      <t>e</t>
    </r>
    <r>
      <rPr>
        <vertAlign val="subscript"/>
        <sz val="11"/>
        <color theme="1"/>
        <rFont val="Calibri"/>
        <family val="2"/>
        <scheme val="minor"/>
      </rPr>
      <t>r</t>
    </r>
  </si>
  <si>
    <r>
      <t>Calcul nb case vide e</t>
    </r>
    <r>
      <rPr>
        <vertAlign val="subscript"/>
        <sz val="11"/>
        <color theme="1"/>
        <rFont val="Calibri"/>
        <family val="2"/>
        <scheme val="minor"/>
      </rPr>
      <t>r</t>
    </r>
    <r>
      <rPr>
        <sz val="11"/>
        <color theme="1"/>
        <rFont val="Calibri"/>
        <family val="2"/>
        <scheme val="minor"/>
      </rPr>
      <t>'</t>
    </r>
  </si>
  <si>
    <t>Nb critère</t>
  </si>
  <si>
    <r>
      <t>k</t>
    </r>
    <r>
      <rPr>
        <vertAlign val="subscript"/>
        <sz val="11"/>
        <color theme="1"/>
        <rFont val="Calibri"/>
        <family val="2"/>
        <scheme val="minor"/>
      </rPr>
      <t>i</t>
    </r>
    <r>
      <rPr>
        <sz val="11"/>
        <color theme="1"/>
        <rFont val="Calibri"/>
        <family val="2"/>
        <scheme val="minor"/>
      </rPr>
      <t>*</t>
    </r>
  </si>
  <si>
    <r>
      <t>k</t>
    </r>
    <r>
      <rPr>
        <vertAlign val="subscript"/>
        <sz val="11"/>
        <color theme="1"/>
        <rFont val="Calibri"/>
        <family val="2"/>
        <scheme val="minor"/>
      </rPr>
      <t>i</t>
    </r>
    <r>
      <rPr>
        <sz val="11"/>
        <color theme="1"/>
        <rFont val="Calibri"/>
        <family val="2"/>
        <scheme val="minor"/>
      </rPr>
      <t>"</t>
    </r>
  </si>
  <si>
    <r>
      <t>d</t>
    </r>
    <r>
      <rPr>
        <vertAlign val="subscript"/>
        <sz val="11"/>
        <color theme="1"/>
        <rFont val="Calibri"/>
        <family val="2"/>
        <scheme val="minor"/>
      </rPr>
      <t>i</t>
    </r>
  </si>
  <si>
    <r>
      <t>k</t>
    </r>
    <r>
      <rPr>
        <vertAlign val="subscript"/>
        <sz val="11"/>
        <color theme="1"/>
        <rFont val="Calibri"/>
        <family val="2"/>
        <scheme val="minor"/>
      </rPr>
      <t>i</t>
    </r>
    <r>
      <rPr>
        <sz val="11"/>
        <color theme="1"/>
        <rFont val="Calibri"/>
        <family val="2"/>
        <scheme val="minor"/>
      </rPr>
      <t>'</t>
    </r>
  </si>
  <si>
    <t>u</t>
  </si>
  <si>
    <t>e</t>
  </si>
  <si>
    <t>w</t>
  </si>
  <si>
    <t>K"</t>
  </si>
  <si>
    <t>v</t>
  </si>
  <si>
    <t>m</t>
  </si>
  <si>
    <t>M</t>
  </si>
  <si>
    <t>F+</t>
  </si>
  <si>
    <t>F-</t>
  </si>
  <si>
    <t>K'</t>
  </si>
  <si>
    <t>|F+|</t>
  </si>
  <si>
    <t>|F-|</t>
  </si>
  <si>
    <t>L</t>
  </si>
  <si>
    <t>g1.1</t>
  </si>
  <si>
    <t>g1.2</t>
  </si>
  <si>
    <t>g1.3</t>
  </si>
  <si>
    <t>g1.4</t>
  </si>
  <si>
    <t>g1.5</t>
  </si>
  <si>
    <r>
      <t>d</t>
    </r>
    <r>
      <rPr>
        <vertAlign val="subscript"/>
        <sz val="11"/>
        <color theme="1"/>
        <rFont val="Calibri"/>
        <family val="2"/>
        <scheme val="minor"/>
      </rPr>
      <t>i barre</t>
    </r>
  </si>
  <si>
    <t>n</t>
  </si>
  <si>
    <t>(n-v-m)</t>
  </si>
  <si>
    <r>
      <t>L</t>
    </r>
    <r>
      <rPr>
        <vertAlign val="subscript"/>
        <sz val="11"/>
        <color theme="1"/>
        <rFont val="Calibri"/>
        <family val="2"/>
        <scheme val="minor"/>
      </rPr>
      <t>barre</t>
    </r>
  </si>
  <si>
    <r>
      <t>→ L</t>
    </r>
    <r>
      <rPr>
        <vertAlign val="subscript"/>
        <sz val="11"/>
        <color theme="1"/>
        <rFont val="Calibri"/>
        <family val="2"/>
      </rPr>
      <t>barre</t>
    </r>
  </si>
  <si>
    <t>→ L</t>
  </si>
  <si>
    <r>
      <t>k</t>
    </r>
    <r>
      <rPr>
        <b/>
        <vertAlign val="subscript"/>
        <sz val="11"/>
        <color theme="1"/>
        <rFont val="Calibri"/>
        <family val="2"/>
        <scheme val="minor"/>
      </rPr>
      <t>i</t>
    </r>
  </si>
  <si>
    <t>g2.1</t>
  </si>
  <si>
    <t>g2.2</t>
  </si>
  <si>
    <t>g2.3</t>
  </si>
  <si>
    <t>g2.4</t>
  </si>
  <si>
    <t>g3.1</t>
  </si>
  <si>
    <t>g3.2</t>
  </si>
  <si>
    <t>g3.3</t>
  </si>
  <si>
    <t>g3.4</t>
  </si>
  <si>
    <t>Tot.</t>
  </si>
  <si>
    <t>g4.1</t>
  </si>
  <si>
    <t>g4.2</t>
  </si>
  <si>
    <t>Pondération critères Systèmes</t>
  </si>
  <si>
    <t>(v+m-n)</t>
  </si>
  <si>
    <r>
      <t>d</t>
    </r>
    <r>
      <rPr>
        <vertAlign val="subscript"/>
        <sz val="11"/>
        <color theme="1"/>
        <rFont val="Calibri"/>
        <family val="2"/>
        <scheme val="minor"/>
      </rPr>
      <t>i</t>
    </r>
    <r>
      <rPr>
        <sz val="11"/>
        <color theme="1"/>
        <rFont val="Calibri"/>
        <family val="2"/>
        <scheme val="minor"/>
      </rPr>
      <t xml:space="preserve"> =</t>
    </r>
    <r>
      <rPr>
        <sz val="11"/>
        <color theme="1"/>
        <rFont val="Calibri"/>
        <family val="2"/>
      </rPr>
      <t xml:space="preserve"> {M}</t>
    </r>
  </si>
  <si>
    <r>
      <t>d</t>
    </r>
    <r>
      <rPr>
        <vertAlign val="subscript"/>
        <sz val="11"/>
        <color theme="1"/>
        <rFont val="Calibri"/>
        <family val="2"/>
        <scheme val="minor"/>
      </rPr>
      <t>i barre</t>
    </r>
    <r>
      <rPr>
        <sz val="11"/>
        <color theme="1"/>
        <rFont val="Calibri"/>
        <family val="2"/>
        <scheme val="minor"/>
      </rPr>
      <t xml:space="preserve"> </t>
    </r>
    <r>
      <rPr>
        <sz val="11"/>
        <color theme="1"/>
        <rFont val="Calibri"/>
        <family val="2"/>
      </rPr>
      <t>≠</t>
    </r>
    <r>
      <rPr>
        <sz val="9.9"/>
        <color theme="1"/>
        <rFont val="Calibri"/>
        <family val="2"/>
      </rPr>
      <t xml:space="preserve"> {M}</t>
    </r>
  </si>
  <si>
    <t>F1</t>
  </si>
  <si>
    <t>F4</t>
  </si>
  <si>
    <t>F2</t>
  </si>
  <si>
    <t>F3</t>
  </si>
  <si>
    <t>1. Pondération des critères ECONOMIQUES - Systèmes</t>
  </si>
  <si>
    <t>2. Pondération des critères TECHNIQUES - Systèmes</t>
  </si>
  <si>
    <t>3. Pondération des critères SOCIAUX - Systèmes</t>
  </si>
  <si>
    <t>4. Pondération des critères ENVIRONNEMENTAUX - Systèmes</t>
  </si>
  <si>
    <t>5. Pondération des 4 FAMILLES de critère - Systèmes</t>
  </si>
  <si>
    <t>5. Classement des 4 familles de critère - Systèmes</t>
  </si>
  <si>
    <t>5. Pondération des 4 familles de critère - Systèmes</t>
  </si>
  <si>
    <t>Ce critère doit permettre d’évaluer l’impact qu’aura une solution sur le montant des charges (appelées directement par un tiers comme un fournisseur d'énergie par exemple) du locataire en prenant en compte les coûts supplémentaires et les  économies réalisées.</t>
  </si>
  <si>
    <t>Efficacité énergétique</t>
  </si>
  <si>
    <t>La mesure de l'efficacité énergétique est importante dans la mesure où elle permet d'identifier quelle solution apporte les meilleurs gains énergétiques. Ce critère permet d'atteindre l'objectif initiale de réduction des consommations énergétiques globales.</t>
  </si>
  <si>
    <t>Calcul des gains énergétique à partir des études du BE.
Fiches FDES pour les isolants</t>
  </si>
  <si>
    <t>Fiches FDES
Base de données INIES
Fiches ACERMI</t>
  </si>
  <si>
    <r>
      <t xml:space="preserve">Ces tableaux Excel représentent la </t>
    </r>
    <r>
      <rPr>
        <b/>
        <sz val="11"/>
        <color theme="1"/>
        <rFont val="Calibri"/>
        <family val="2"/>
        <scheme val="minor"/>
      </rPr>
      <t xml:space="preserve">première étape dans le processus de pondérations </t>
    </r>
    <r>
      <rPr>
        <sz val="11"/>
        <color theme="1"/>
        <rFont val="Calibri"/>
        <family val="2"/>
        <scheme val="minor"/>
      </rPr>
      <t xml:space="preserve">des critères et sous-critères relatifs aux systèmes. L’objectif est de </t>
    </r>
    <r>
      <rPr>
        <b/>
        <sz val="11"/>
        <color theme="1"/>
        <rFont val="Calibri"/>
        <family val="2"/>
        <scheme val="minor"/>
      </rPr>
      <t xml:space="preserve">hiérarchiser les familles de critères et critères </t>
    </r>
    <r>
      <rPr>
        <sz val="11"/>
        <color theme="1"/>
        <rFont val="Calibri"/>
        <family val="2"/>
        <scheme val="minor"/>
      </rPr>
      <t xml:space="preserve">les uns par rapport aux autres par le biais de ces feuilles Excel. </t>
    </r>
    <r>
      <rPr>
        <b/>
        <sz val="11"/>
        <color theme="1"/>
        <rFont val="Calibri"/>
        <family val="2"/>
        <scheme val="minor"/>
      </rPr>
      <t>Le calcule des poids</t>
    </r>
    <r>
      <rPr>
        <sz val="11"/>
        <color theme="1"/>
        <rFont val="Calibri"/>
        <family val="2"/>
        <scheme val="minor"/>
      </rPr>
      <t xml:space="preserve"> de chaque critère </t>
    </r>
    <r>
      <rPr>
        <b/>
        <sz val="11"/>
        <color theme="1"/>
        <rFont val="Calibri"/>
        <family val="2"/>
        <scheme val="minor"/>
      </rPr>
      <t>se fait ensuite automatiquement</t>
    </r>
    <r>
      <rPr>
        <sz val="11"/>
        <color theme="1"/>
        <rFont val="Calibri"/>
        <family val="2"/>
        <scheme val="minor"/>
      </rPr>
      <t xml:space="preserve"> en fonction de la hérachisation  choisie. La méthode utilisé pour le calcul s'appelle la Méthode SRF (SIMOS Révisée).
Il s’agit dans un premier temps de </t>
    </r>
    <r>
      <rPr>
        <b/>
        <sz val="11"/>
        <color theme="1"/>
        <rFont val="Calibri"/>
        <family val="2"/>
        <scheme val="minor"/>
      </rPr>
      <t>classer chaque critères</t>
    </r>
    <r>
      <rPr>
        <sz val="11"/>
        <color theme="1"/>
        <rFont val="Calibri"/>
        <family val="2"/>
        <scheme val="minor"/>
      </rPr>
      <t xml:space="preserve"> au sein de chaque famille </t>
    </r>
    <r>
      <rPr>
        <b/>
        <sz val="11"/>
        <color theme="1"/>
        <rFont val="Calibri"/>
        <family val="2"/>
        <scheme val="minor"/>
      </rPr>
      <t>grâce aux cellules de type "liste"</t>
    </r>
    <r>
      <rPr>
        <sz val="11"/>
        <color theme="1"/>
        <rFont val="Calibri"/>
        <family val="2"/>
        <scheme val="minor"/>
      </rPr>
      <t xml:space="preserve"> configurées. Les critères doivent être </t>
    </r>
    <r>
      <rPr>
        <b/>
        <sz val="11"/>
        <color theme="1"/>
        <rFont val="Calibri"/>
        <family val="2"/>
        <scheme val="minor"/>
      </rPr>
      <t>classés du plus importants aux moins importants</t>
    </r>
    <r>
      <rPr>
        <sz val="11"/>
        <color theme="1"/>
        <rFont val="Calibri"/>
        <family val="2"/>
        <scheme val="minor"/>
      </rPr>
      <t xml:space="preserve"> selon votre point de vu. Si plusieurs critères vous semblent avoir la même importance </t>
    </r>
    <r>
      <rPr>
        <b/>
        <sz val="11"/>
        <color theme="1"/>
        <rFont val="Calibri"/>
        <family val="2"/>
        <scheme val="minor"/>
      </rPr>
      <t>ils peuvent être placés au même rang, sur la même ligne</t>
    </r>
    <r>
      <rPr>
        <sz val="11"/>
        <color theme="1"/>
        <rFont val="Calibri"/>
        <family val="2"/>
        <scheme val="minor"/>
      </rPr>
      <t xml:space="preserve">. Si un critère vous semble beaucoup plus important que les suivants </t>
    </r>
    <r>
      <rPr>
        <b/>
        <sz val="11"/>
        <color theme="1"/>
        <rFont val="Calibri"/>
        <family val="2"/>
        <scheme val="minor"/>
      </rPr>
      <t>une ou plusieurs lignes vides peuvent êtres laissées</t>
    </r>
    <r>
      <rPr>
        <sz val="11"/>
        <color theme="1"/>
        <rFont val="Calibri"/>
        <family val="2"/>
        <scheme val="minor"/>
      </rPr>
      <t>. A noter qu'</t>
    </r>
    <r>
      <rPr>
        <b/>
        <sz val="11"/>
        <color theme="1"/>
        <rFont val="Calibri"/>
        <family val="2"/>
        <scheme val="minor"/>
      </rPr>
      <t>il n'existe pas de règle pour la position d’un critères dans la lise</t>
    </r>
    <r>
      <rPr>
        <sz val="11"/>
        <color theme="1"/>
        <rFont val="Calibri"/>
        <family val="2"/>
        <scheme val="minor"/>
      </rPr>
      <t xml:space="preserve"> : le moins important peut par exemple aussi bien se retrouver sur la ligne 6 que sur la ligne 15. Enfin, un </t>
    </r>
    <r>
      <rPr>
        <b/>
        <sz val="11"/>
        <color theme="1"/>
        <rFont val="Calibri"/>
        <family val="2"/>
        <scheme val="minor"/>
      </rPr>
      <t>ratio Z</t>
    </r>
    <r>
      <rPr>
        <sz val="11"/>
        <color theme="1"/>
        <rFont val="Calibri"/>
        <family val="2"/>
        <scheme val="minor"/>
      </rPr>
      <t xml:space="preserve"> vous sera demandé pour chaque tableau afin de </t>
    </r>
    <r>
      <rPr>
        <b/>
        <sz val="11"/>
        <color theme="1"/>
        <rFont val="Calibri"/>
        <family val="2"/>
        <scheme val="minor"/>
      </rPr>
      <t>fixer le rapport d’importance</t>
    </r>
    <r>
      <rPr>
        <sz val="11"/>
        <color theme="1"/>
        <rFont val="Calibri"/>
        <family val="2"/>
        <scheme val="minor"/>
      </rPr>
      <t xml:space="preserve"> entre le critère le plus important et le critère le moins important.
Dans un second temps il s’agira de </t>
    </r>
    <r>
      <rPr>
        <b/>
        <sz val="11"/>
        <color theme="1"/>
        <rFont val="Calibri"/>
        <family val="2"/>
        <scheme val="minor"/>
      </rPr>
      <t>classer les 4 familles de critèr</t>
    </r>
    <r>
      <rPr>
        <b/>
        <sz val="11"/>
        <rFont val="Calibri"/>
        <family val="2"/>
        <scheme val="minor"/>
      </rPr>
      <t>es</t>
    </r>
    <r>
      <rPr>
        <sz val="11"/>
        <rFont val="Calibri"/>
        <family val="2"/>
        <scheme val="minor"/>
      </rPr>
      <t xml:space="preserve"> avec la même méthode</t>
    </r>
    <r>
      <rPr>
        <sz val="11"/>
        <color theme="1"/>
        <rFont val="Calibri"/>
        <family val="2"/>
        <scheme val="minor"/>
      </rPr>
      <t xml:space="preserve"> dans le tableau 5. Les familles doivent être classés de la plus importante à la moins importante selon votre point de vu. Il est également possible d’avoir des familles avec une importance identique ou avec des écarts appuyé.</t>
    </r>
  </si>
  <si>
    <t>Coût de fonctionnement</t>
  </si>
  <si>
    <r>
      <t>g</t>
    </r>
    <r>
      <rPr>
        <b/>
        <vertAlign val="subscript"/>
        <sz val="12"/>
        <color theme="1"/>
        <rFont val="Calibri"/>
        <family val="2"/>
        <scheme val="minor"/>
      </rPr>
      <t>1.2</t>
    </r>
    <r>
      <rPr>
        <sz val="11"/>
        <color theme="1"/>
        <rFont val="Calibri"/>
        <family val="2"/>
        <scheme val="minor"/>
      </rPr>
      <t/>
    </r>
  </si>
  <si>
    <r>
      <t>g</t>
    </r>
    <r>
      <rPr>
        <b/>
        <vertAlign val="subscript"/>
        <sz val="12"/>
        <color theme="1"/>
        <rFont val="Calibri"/>
        <family val="2"/>
        <scheme val="minor"/>
      </rPr>
      <t>1.3</t>
    </r>
    <r>
      <rPr>
        <sz val="11"/>
        <color theme="1"/>
        <rFont val="Calibri"/>
        <family val="2"/>
        <scheme val="minor"/>
      </rPr>
      <t/>
    </r>
  </si>
  <si>
    <r>
      <t>g</t>
    </r>
    <r>
      <rPr>
        <b/>
        <vertAlign val="subscript"/>
        <sz val="12"/>
        <color theme="1"/>
        <rFont val="Calibri"/>
        <family val="2"/>
        <scheme val="minor"/>
      </rPr>
      <t>1.4</t>
    </r>
    <r>
      <rPr>
        <sz val="11"/>
        <color theme="1"/>
        <rFont val="Calibri"/>
        <family val="2"/>
        <scheme val="minor"/>
      </rPr>
      <t/>
    </r>
  </si>
  <si>
    <r>
      <t>g</t>
    </r>
    <r>
      <rPr>
        <b/>
        <vertAlign val="subscript"/>
        <sz val="12"/>
        <color theme="1"/>
        <rFont val="Calibri"/>
        <family val="2"/>
        <scheme val="minor"/>
      </rPr>
      <t>1.5</t>
    </r>
    <r>
      <rPr>
        <sz val="11"/>
        <color theme="1"/>
        <rFont val="Calibri"/>
        <family val="2"/>
        <scheme val="minor"/>
      </rPr>
      <t/>
    </r>
  </si>
  <si>
    <t>Emissions de CO2 évitées</t>
  </si>
  <si>
    <t>Evaluer et comparer les différents scénarios au regard de critères environnementaux dont les émissions de CO2 et les consommations d'énergies sont les principales composantes.</t>
  </si>
  <si>
    <t>Pour obtenir les émissions évitées, il suffit de multiplier les kWh valorisés par le contenu en CO2 des kWh qui ont été évités. Ce calcul prend implicitement en compte le mix énergétique français et ses différentes sources de production d’électricité ainsi que leur émission de CO2 par kWh.</t>
  </si>
  <si>
    <t>Liste des familles de critères</t>
  </si>
  <si>
    <t>Liste des critères</t>
  </si>
  <si>
    <t>g1.1 Coûts d'investissement propriétaire</t>
  </si>
  <si>
    <t>g1.6 Coût de fonctionnement</t>
  </si>
  <si>
    <t>g1.3 Coût de réinvestissement sur une durée de 30 ans</t>
  </si>
  <si>
    <t>g1.4 Possibilité d'aides financières et subventions particulières</t>
  </si>
  <si>
    <t>g1.8 Rentabilité énergétique de la solution</t>
  </si>
  <si>
    <t>g2.1  Facilité d’intégration au bâti existant</t>
  </si>
  <si>
    <t>g2.4  Facilité de Comptage / Pilotage / Gestion de l'énergie</t>
  </si>
  <si>
    <t>g2.2  Mise en œuvre en site occupé</t>
  </si>
  <si>
    <t>g2.3  Facilité d'entretien / Maintenance</t>
  </si>
  <si>
    <t>g3.1 Impact sur le coût pour le locataire</t>
  </si>
  <si>
    <t>g3.4 Esthétique et encombrement</t>
  </si>
  <si>
    <t>g3.2  Niveau de confort thermique</t>
  </si>
  <si>
    <t>g3.3  Niveau de confort acoustique</t>
  </si>
  <si>
    <t>g4.3  Lieu de production</t>
  </si>
  <si>
    <t>g4.1  Efficacité énergétique</t>
  </si>
  <si>
    <t>g4.2  Emissions de CO2 évitées</t>
  </si>
  <si>
    <t>g4.3</t>
  </si>
  <si>
    <t>Quantité de CO2 non émis dans l'environnement associé aux gains de consommations énergétique et au type d'énergie finale utilisé.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</si>
</sst>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0"/>
    <numFmt numFmtId="165" formatCode="0.00000"/>
    <numFmt numFmtId="166" formatCode="0.0000000"/>
    <numFmt numFmtId="167" formatCode="0.00000000"/>
  </numFmts>
  <fonts count="39" x14ac:knownFonts="1">
    <font>
      <sz val="11"/>
      <color theme="1"/>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
      <b/>
      <sz val="12"/>
      <color theme="1"/>
      <name val="Calibri"/>
      <family val="2"/>
      <scheme val="minor"/>
    </font>
    <font>
      <b/>
      <sz val="11"/>
      <color theme="1"/>
      <name val="Calibri"/>
      <family val="2"/>
      <scheme val="minor"/>
    </font>
    <font>
      <b/>
      <vertAlign val="subscript"/>
      <sz val="12"/>
      <color theme="1"/>
      <name val="Calibri"/>
      <family val="2"/>
      <scheme val="minor"/>
    </font>
    <font>
      <sz val="11"/>
      <color theme="1"/>
      <name val="Calibri"/>
      <family val="2"/>
      <scheme val="minor"/>
    </font>
    <font>
      <b/>
      <sz val="15"/>
      <color theme="3"/>
      <name val="Calibri"/>
      <family val="2"/>
      <scheme val="minor"/>
    </font>
    <font>
      <b/>
      <sz val="11"/>
      <color theme="0"/>
      <name val="Calibri"/>
      <family val="2"/>
      <scheme val="minor"/>
    </font>
    <font>
      <sz val="10"/>
      <color theme="1"/>
      <name val="Calibri"/>
      <family val="2"/>
      <scheme val="minor"/>
    </font>
    <font>
      <sz val="11"/>
      <name val="Calibri"/>
      <family val="2"/>
      <scheme val="minor"/>
    </font>
    <font>
      <sz val="18"/>
      <color theme="3"/>
      <name val="Calibri Light"/>
      <family val="2"/>
      <scheme val="major"/>
    </font>
    <font>
      <sz val="22"/>
      <color theme="3"/>
      <name val="Calibri Light"/>
      <family val="2"/>
      <scheme val="major"/>
    </font>
    <font>
      <b/>
      <sz val="11"/>
      <color theme="2" tint="-9.9978637043366805E-2"/>
      <name val="Calibri"/>
      <family val="2"/>
      <scheme val="minor"/>
    </font>
    <font>
      <b/>
      <sz val="11"/>
      <name val="Calibri"/>
      <family val="2"/>
      <scheme val="minor"/>
    </font>
    <font>
      <u/>
      <sz val="11"/>
      <name val="Calibri"/>
      <family val="2"/>
      <scheme val="minor"/>
    </font>
    <font>
      <b/>
      <sz val="22"/>
      <color rgb="FFFF0000"/>
      <name val="Calibri Light"/>
      <family val="2"/>
      <scheme val="major"/>
    </font>
    <font>
      <b/>
      <sz val="18"/>
      <color theme="1" tint="0.14999847407452621"/>
      <name val="Calibri"/>
      <family val="2"/>
      <scheme val="minor"/>
    </font>
    <font>
      <b/>
      <sz val="18"/>
      <color theme="9" tint="-0.249977111117893"/>
      <name val="Calibri"/>
      <family val="2"/>
      <scheme val="minor"/>
    </font>
    <font>
      <b/>
      <sz val="18"/>
      <color theme="5" tint="-0.249977111117893"/>
      <name val="Calibri"/>
      <family val="2"/>
      <scheme val="minor"/>
    </font>
    <font>
      <b/>
      <sz val="18"/>
      <color theme="7" tint="-0.249977111117893"/>
      <name val="Calibri"/>
      <family val="2"/>
      <scheme val="minor"/>
    </font>
    <font>
      <b/>
      <sz val="18"/>
      <color theme="4" tint="-0.249977111117893"/>
      <name val="Calibri"/>
      <family val="2"/>
      <scheme val="minor"/>
    </font>
    <font>
      <sz val="11"/>
      <color rgb="FFFF0000"/>
      <name val="Calibri"/>
      <family val="2"/>
      <scheme val="minor"/>
    </font>
    <font>
      <vertAlign val="subscript"/>
      <sz val="11"/>
      <color theme="1"/>
      <name val="Calibri"/>
      <family val="2"/>
      <scheme val="minor"/>
    </font>
    <font>
      <sz val="11"/>
      <color theme="1"/>
      <name val="Calibri"/>
      <family val="2"/>
    </font>
    <font>
      <sz val="8"/>
      <name val="Calibri"/>
      <family val="2"/>
      <scheme val="minor"/>
    </font>
    <font>
      <vertAlign val="subscript"/>
      <sz val="11"/>
      <color theme="1"/>
      <name val="Calibri"/>
      <family val="2"/>
    </font>
    <font>
      <b/>
      <vertAlign val="subscript"/>
      <sz val="11"/>
      <color theme="1"/>
      <name val="Calibri"/>
      <family val="2"/>
      <scheme val="minor"/>
    </font>
    <font>
      <sz val="9.9"/>
      <color theme="1"/>
      <name val="Calibri"/>
      <family val="2"/>
    </font>
    <font>
      <b/>
      <sz val="12"/>
      <color theme="4" tint="-0.249977111117893"/>
      <name val="Calibri"/>
      <family val="2"/>
      <scheme val="minor"/>
    </font>
    <font>
      <b/>
      <sz val="12"/>
      <color theme="7" tint="-0.249977111117893"/>
      <name val="Calibri"/>
      <family val="2"/>
      <scheme val="minor"/>
    </font>
    <font>
      <b/>
      <sz val="12"/>
      <color theme="5" tint="-0.249977111117893"/>
      <name val="Calibri"/>
      <family val="2"/>
      <scheme val="minor"/>
    </font>
    <font>
      <b/>
      <sz val="12"/>
      <color theme="9" tint="-0.249977111117893"/>
      <name val="Calibri"/>
      <family val="2"/>
      <scheme val="minor"/>
    </font>
    <font>
      <b/>
      <sz val="12"/>
      <color theme="1" tint="0.14999847407452621"/>
      <name val="Calibri"/>
      <family val="2"/>
      <scheme val="minor"/>
    </font>
    <font>
      <b/>
      <sz val="20"/>
      <name val="Calibri Light"/>
      <family val="2"/>
      <scheme val="major"/>
    </font>
    <font>
      <b/>
      <sz val="22"/>
      <name val="Calibri Light"/>
      <family val="2"/>
      <scheme val="major"/>
    </font>
    <font>
      <b/>
      <sz val="14"/>
      <name val="Calibri"/>
      <family val="2"/>
      <scheme val="minor"/>
    </font>
    <font>
      <b/>
      <sz val="16"/>
      <name val="Calibri Light"/>
      <family val="2"/>
      <scheme val="major"/>
    </font>
  </fonts>
  <fills count="21">
    <fill>
      <patternFill patternType="none"/>
    </fill>
    <fill>
      <patternFill patternType="gray125"/>
    </fill>
    <fill>
      <patternFill patternType="solid">
        <fgColor theme="5"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A5A5A5"/>
      </patternFill>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9" tint="0.59999389629810485"/>
        <bgColor indexed="65"/>
      </patternFill>
    </fill>
    <fill>
      <patternFill patternType="solid">
        <fgColor them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0" tint="-4.9989318521683403E-2"/>
        <bgColor indexed="64"/>
      </patternFill>
    </fill>
  </fills>
  <borders count="9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theme="4"/>
      </bottom>
      <diagonal/>
    </border>
    <border>
      <left style="double">
        <color rgb="FF3F3F3F"/>
      </left>
      <right style="double">
        <color rgb="FF3F3F3F"/>
      </right>
      <top style="double">
        <color rgb="FF3F3F3F"/>
      </top>
      <bottom style="double">
        <color rgb="FF3F3F3F"/>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ashed">
        <color theme="0" tint="-0.249977111117893"/>
      </bottom>
      <diagonal/>
    </border>
    <border>
      <left style="thin">
        <color theme="6" tint="0.59999389629810485"/>
      </left>
      <right/>
      <top/>
      <bottom/>
      <diagonal/>
    </border>
    <border>
      <left/>
      <right style="thin">
        <color theme="6" tint="0.59999389629810485"/>
      </right>
      <top/>
      <bottom/>
      <diagonal/>
    </border>
    <border>
      <left style="thin">
        <color theme="6" tint="0.59999389629810485"/>
      </left>
      <right/>
      <top/>
      <bottom style="thin">
        <color theme="6" tint="0.59999389629810485"/>
      </bottom>
      <diagonal/>
    </border>
    <border>
      <left/>
      <right/>
      <top/>
      <bottom style="thin">
        <color theme="6" tint="0.59999389629810485"/>
      </bottom>
      <diagonal/>
    </border>
    <border>
      <left/>
      <right style="thin">
        <color theme="6" tint="0.59999389629810485"/>
      </right>
      <top/>
      <bottom style="thin">
        <color theme="6" tint="0.59999389629810485"/>
      </bottom>
      <diagonal/>
    </border>
    <border>
      <left style="thin">
        <color theme="0"/>
      </left>
      <right style="thin">
        <color theme="0"/>
      </right>
      <top/>
      <bottom style="thin">
        <color theme="0"/>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theme="9" tint="0.39991454817346722"/>
      </left>
      <right/>
      <top style="medium">
        <color theme="9" tint="0.39991454817346722"/>
      </top>
      <bottom style="medium">
        <color theme="9" tint="0.39991454817346722"/>
      </bottom>
      <diagonal/>
    </border>
    <border>
      <left/>
      <right/>
      <top style="medium">
        <color theme="9" tint="0.39991454817346722"/>
      </top>
      <bottom style="medium">
        <color theme="9" tint="0.39991454817346722"/>
      </bottom>
      <diagonal/>
    </border>
    <border>
      <left/>
      <right style="medium">
        <color theme="9" tint="0.39991454817346722"/>
      </right>
      <top style="medium">
        <color theme="9" tint="0.39991454817346722"/>
      </top>
      <bottom style="medium">
        <color theme="9" tint="0.39991454817346722"/>
      </bottom>
      <diagonal/>
    </border>
    <border>
      <left style="medium">
        <color theme="5" tint="0.39994506668294322"/>
      </left>
      <right/>
      <top style="medium">
        <color theme="5" tint="0.39994506668294322"/>
      </top>
      <bottom style="medium">
        <color theme="5" tint="0.39994506668294322"/>
      </bottom>
      <diagonal/>
    </border>
    <border>
      <left/>
      <right/>
      <top style="medium">
        <color theme="5" tint="0.39994506668294322"/>
      </top>
      <bottom style="medium">
        <color theme="5" tint="0.39994506668294322"/>
      </bottom>
      <diagonal/>
    </border>
    <border>
      <left/>
      <right style="medium">
        <color theme="5" tint="0.39994506668294322"/>
      </right>
      <top style="medium">
        <color theme="5" tint="0.39994506668294322"/>
      </top>
      <bottom style="medium">
        <color theme="5" tint="0.39994506668294322"/>
      </bottom>
      <diagonal/>
    </border>
    <border>
      <left style="medium">
        <color theme="7" tint="0.39994506668294322"/>
      </left>
      <right/>
      <top style="medium">
        <color theme="7" tint="0.39994506668294322"/>
      </top>
      <bottom style="medium">
        <color theme="7" tint="0.39994506668294322"/>
      </bottom>
      <diagonal/>
    </border>
    <border>
      <left/>
      <right/>
      <top style="medium">
        <color theme="7" tint="0.39994506668294322"/>
      </top>
      <bottom style="medium">
        <color theme="7" tint="0.39994506668294322"/>
      </bottom>
      <diagonal/>
    </border>
    <border>
      <left/>
      <right style="medium">
        <color theme="7" tint="0.39994506668294322"/>
      </right>
      <top style="medium">
        <color theme="7" tint="0.39994506668294322"/>
      </top>
      <bottom style="medium">
        <color theme="7" tint="0.39994506668294322"/>
      </bottom>
      <diagonal/>
    </border>
    <border>
      <left style="medium">
        <color theme="4" tint="0.59996337778862885"/>
      </left>
      <right/>
      <top style="medium">
        <color theme="4" tint="0.59996337778862885"/>
      </top>
      <bottom style="medium">
        <color theme="4" tint="0.59996337778862885"/>
      </bottom>
      <diagonal/>
    </border>
    <border>
      <left/>
      <right/>
      <top style="medium">
        <color theme="4" tint="0.59996337778862885"/>
      </top>
      <bottom style="medium">
        <color theme="4" tint="0.59996337778862885"/>
      </bottom>
      <diagonal/>
    </border>
    <border>
      <left/>
      <right style="medium">
        <color theme="4" tint="0.59996337778862885"/>
      </right>
      <top style="medium">
        <color theme="4" tint="0.59996337778862885"/>
      </top>
      <bottom style="medium">
        <color theme="4" tint="0.59996337778862885"/>
      </bottom>
      <diagonal/>
    </border>
    <border>
      <left style="double">
        <color rgb="FF3F3F3F"/>
      </left>
      <right/>
      <top/>
      <bottom/>
      <diagonal/>
    </border>
    <border>
      <left/>
      <right style="double">
        <color rgb="FF3F3F3F"/>
      </right>
      <top style="double">
        <color rgb="FF3F3F3F"/>
      </top>
      <bottom style="double">
        <color rgb="FF3F3F3F"/>
      </bottom>
      <diagonal/>
    </border>
    <border>
      <left style="thin">
        <color theme="6" tint="0.59999389629810485"/>
      </left>
      <right/>
      <top style="double">
        <color rgb="FF3F3F3F"/>
      </top>
      <bottom style="double">
        <color rgb="FF3F3F3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theme="4" tint="0.59996337778862885"/>
      </left>
      <right/>
      <top style="thick">
        <color theme="4" tint="0.59996337778862885"/>
      </top>
      <bottom style="thick">
        <color theme="4" tint="0.59996337778862885"/>
      </bottom>
      <diagonal/>
    </border>
    <border>
      <left/>
      <right/>
      <top style="thick">
        <color theme="4" tint="0.59996337778862885"/>
      </top>
      <bottom style="thick">
        <color theme="4" tint="0.59996337778862885"/>
      </bottom>
      <diagonal/>
    </border>
    <border>
      <left/>
      <right style="thick">
        <color theme="4" tint="0.59996337778862885"/>
      </right>
      <top style="thick">
        <color theme="4" tint="0.59996337778862885"/>
      </top>
      <bottom style="thick">
        <color theme="4" tint="0.59996337778862885"/>
      </bottom>
      <diagonal/>
    </border>
    <border>
      <left style="thick">
        <color theme="5" tint="0.39988402966399123"/>
      </left>
      <right/>
      <top style="thick">
        <color theme="5" tint="0.39988402966399123"/>
      </top>
      <bottom style="thick">
        <color theme="5" tint="0.39988402966399123"/>
      </bottom>
      <diagonal/>
    </border>
    <border>
      <left/>
      <right/>
      <top style="thick">
        <color theme="5" tint="0.39988402966399123"/>
      </top>
      <bottom style="thick">
        <color theme="5" tint="0.39988402966399123"/>
      </bottom>
      <diagonal/>
    </border>
    <border>
      <left/>
      <right style="thick">
        <color theme="5" tint="0.39988402966399123"/>
      </right>
      <top style="thick">
        <color theme="5" tint="0.39988402966399123"/>
      </top>
      <bottom style="thick">
        <color theme="5" tint="0.39988402966399123"/>
      </bottom>
      <diagonal/>
    </border>
    <border>
      <left style="thick">
        <color theme="9" tint="0.39988402966399123"/>
      </left>
      <right/>
      <top style="thick">
        <color theme="9" tint="0.39988402966399123"/>
      </top>
      <bottom style="thick">
        <color theme="9" tint="0.39988402966399123"/>
      </bottom>
      <diagonal/>
    </border>
    <border>
      <left/>
      <right/>
      <top style="thick">
        <color theme="9" tint="0.39988402966399123"/>
      </top>
      <bottom style="thick">
        <color theme="9" tint="0.39988402966399123"/>
      </bottom>
      <diagonal/>
    </border>
    <border>
      <left/>
      <right style="thick">
        <color theme="9" tint="0.39988402966399123"/>
      </right>
      <top style="thick">
        <color theme="9" tint="0.39988402966399123"/>
      </top>
      <bottom style="thick">
        <color theme="9" tint="0.39988402966399123"/>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theme="7" tint="0.39991454817346722"/>
      </left>
      <right/>
      <top style="thick">
        <color theme="7" tint="0.39991454817346722"/>
      </top>
      <bottom style="thick">
        <color theme="7" tint="0.39991454817346722"/>
      </bottom>
      <diagonal/>
    </border>
    <border>
      <left/>
      <right/>
      <top style="thick">
        <color theme="7" tint="0.39991454817346722"/>
      </top>
      <bottom style="thick">
        <color theme="7" tint="0.39991454817346722"/>
      </bottom>
      <diagonal/>
    </border>
    <border>
      <left/>
      <right style="thick">
        <color theme="7" tint="0.39991454817346722"/>
      </right>
      <top style="thick">
        <color theme="7" tint="0.39991454817346722"/>
      </top>
      <bottom style="thick">
        <color theme="7" tint="0.39991454817346722"/>
      </bottom>
      <diagonal/>
    </border>
    <border>
      <left/>
      <right/>
      <top style="thick">
        <color theme="5" tint="0.39991454817346722"/>
      </top>
      <bottom style="thick">
        <color theme="5" tint="0.39991454817346722"/>
      </bottom>
      <diagonal/>
    </border>
    <border>
      <left/>
      <right style="thick">
        <color theme="5" tint="0.39991454817346722"/>
      </right>
      <top style="thick">
        <color theme="5" tint="0.39991454817346722"/>
      </top>
      <bottom style="thick">
        <color theme="5" tint="0.39991454817346722"/>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rgb="FFFF0000"/>
      </left>
      <right/>
      <top/>
      <bottom/>
      <diagonal/>
    </border>
    <border>
      <left/>
      <right style="medium">
        <color rgb="FFFF0000"/>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double">
        <color rgb="FF3F3F3F"/>
      </bottom>
      <diagonal/>
    </border>
    <border>
      <left style="thin">
        <color theme="6" tint="0.59996337778862885"/>
      </left>
      <right/>
      <top/>
      <bottom style="double">
        <color rgb="FF3F3F3F"/>
      </bottom>
      <diagonal/>
    </border>
    <border>
      <left style="thin">
        <color theme="6" tint="0.59996337778862885"/>
      </left>
      <right/>
      <top/>
      <bottom/>
      <diagonal/>
    </border>
    <border>
      <left/>
      <right/>
      <top/>
      <bottom style="dashed">
        <color theme="0" tint="-0.24994659260841701"/>
      </bottom>
      <diagonal/>
    </border>
    <border>
      <left/>
      <right/>
      <top style="dashed">
        <color theme="0" tint="-0.24994659260841701"/>
      </top>
      <bottom style="dashed">
        <color theme="0" tint="-0.24994659260841701"/>
      </bottom>
      <diagonal/>
    </border>
    <border>
      <left/>
      <right style="thin">
        <color theme="0" tint="-0.24994659260841701"/>
      </right>
      <top style="medium">
        <color auto="1"/>
      </top>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style="thin">
        <color theme="0" tint="-0.24994659260841701"/>
      </left>
      <right/>
      <top style="medium">
        <color auto="1"/>
      </top>
      <bottom/>
      <diagonal/>
    </border>
    <border>
      <left style="thin">
        <color theme="0" tint="-0.24994659260841701"/>
      </left>
      <right/>
      <top/>
      <bottom/>
      <diagonal/>
    </border>
    <border>
      <left style="thin">
        <color theme="0" tint="-0.24994659260841701"/>
      </left>
      <right style="thick">
        <color theme="4" tint="0.59996337778862885"/>
      </right>
      <top style="thick">
        <color theme="4" tint="0.59996337778862885"/>
      </top>
      <bottom style="thick">
        <color theme="4" tint="0.59996337778862885"/>
      </bottom>
      <diagonal/>
    </border>
    <border>
      <left style="thin">
        <color theme="0" tint="-0.24994659260841701"/>
      </left>
      <right style="thick">
        <color theme="7" tint="0.39988402966399123"/>
      </right>
      <top style="thick">
        <color theme="7" tint="0.39988402966399123"/>
      </top>
      <bottom style="thick">
        <color theme="7" tint="0.39988402966399123"/>
      </bottom>
      <diagonal/>
    </border>
    <border>
      <left style="thin">
        <color theme="0" tint="-0.24994659260841701"/>
      </left>
      <right style="thick">
        <color theme="5" tint="0.39988402966399123"/>
      </right>
      <top style="thick">
        <color theme="5" tint="0.39988402966399123"/>
      </top>
      <bottom style="thick">
        <color theme="5" tint="0.39988402966399123"/>
      </bottom>
      <diagonal/>
    </border>
    <border>
      <left style="thin">
        <color theme="0" tint="-0.24994659260841701"/>
      </left>
      <right style="thick">
        <color theme="9" tint="0.39985351115451523"/>
      </right>
      <top style="thick">
        <color theme="9" tint="0.39985351115451523"/>
      </top>
      <bottom style="thick">
        <color theme="9" tint="0.39985351115451523"/>
      </bottom>
      <diagonal/>
    </border>
    <border>
      <left style="thin">
        <color theme="0" tint="-0.24994659260841701"/>
      </left>
      <right/>
      <top/>
      <bottom style="thin">
        <color theme="0" tint="-0.24994659260841701"/>
      </bottom>
      <diagonal/>
    </border>
    <border>
      <left/>
      <right/>
      <top/>
      <bottom style="thin">
        <color theme="0" tint="-0.24994659260841701"/>
      </bottom>
      <diagonal/>
    </border>
  </borders>
  <cellStyleXfs count="10">
    <xf numFmtId="0" fontId="0" fillId="0" borderId="0"/>
    <xf numFmtId="0" fontId="2" fillId="0" borderId="0" applyNumberFormat="0" applyFill="0" applyBorder="0" applyAlignment="0" applyProtection="0"/>
    <xf numFmtId="0" fontId="8" fillId="0" borderId="4" applyNumberFormat="0" applyFill="0" applyAlignment="0" applyProtection="0"/>
    <xf numFmtId="0" fontId="9" fillId="7" borderId="5" applyNumberFormat="0" applyAlignment="0" applyProtection="0"/>
    <xf numFmtId="0" fontId="7" fillId="8" borderId="0" applyNumberFormat="0" applyBorder="0" applyAlignment="0" applyProtection="0"/>
    <xf numFmtId="0" fontId="12" fillId="0" borderId="0" applyNumberFormat="0" applyFill="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cellStyleXfs>
  <cellXfs count="298">
    <xf numFmtId="0" fontId="0" fillId="0" borderId="0" xfId="0"/>
    <xf numFmtId="0" fontId="0" fillId="6" borderId="0" xfId="0" applyFill="1"/>
    <xf numFmtId="0" fontId="4" fillId="6" borderId="0" xfId="0" applyFont="1" applyFill="1" applyAlignment="1">
      <alignment horizontal="center" vertical="center"/>
    </xf>
    <xf numFmtId="0" fontId="13" fillId="6" borderId="0" xfId="5" applyFont="1" applyFill="1" applyAlignment="1">
      <alignment horizontal="center" vertical="center"/>
    </xf>
    <xf numFmtId="0" fontId="0" fillId="0" borderId="0" xfId="0" applyBorder="1"/>
    <xf numFmtId="0" fontId="7" fillId="0" borderId="0" xfId="8" applyFont="1" applyFill="1" applyBorder="1" applyAlignment="1">
      <alignment horizontal="left" vertical="center"/>
    </xf>
    <xf numFmtId="0" fontId="10" fillId="6" borderId="0" xfId="0" applyFont="1" applyFill="1" applyBorder="1" applyAlignment="1">
      <alignment horizontal="center" vertical="center"/>
    </xf>
    <xf numFmtId="0" fontId="0" fillId="6" borderId="0" xfId="0" applyFill="1" applyAlignment="1">
      <alignment wrapText="1"/>
    </xf>
    <xf numFmtId="0" fontId="0" fillId="6" borderId="0" xfId="0" applyFill="1" applyAlignment="1">
      <alignment horizontal="center" vertical="center" wrapText="1"/>
    </xf>
    <xf numFmtId="0" fontId="5" fillId="6" borderId="0" xfId="0" applyFont="1" applyFill="1" applyAlignment="1">
      <alignment horizontal="center" vertical="center" wrapText="1"/>
    </xf>
    <xf numFmtId="0" fontId="4" fillId="0" borderId="0" xfId="0" applyFont="1" applyAlignment="1">
      <alignment horizontal="center" vertical="center"/>
    </xf>
    <xf numFmtId="0" fontId="0" fillId="0" borderId="0" xfId="0" applyAlignment="1">
      <alignment horizontal="center" vertical="center" wrapText="1"/>
    </xf>
    <xf numFmtId="0" fontId="0" fillId="6" borderId="14" xfId="0" applyFill="1" applyBorder="1" applyAlignment="1">
      <alignment vertical="center"/>
    </xf>
    <xf numFmtId="0" fontId="0" fillId="6" borderId="0" xfId="0" applyFill="1" applyBorder="1" applyAlignment="1">
      <alignment vertical="center"/>
    </xf>
    <xf numFmtId="0" fontId="0" fillId="6" borderId="15" xfId="0" applyFill="1" applyBorder="1" applyAlignment="1">
      <alignment vertical="center"/>
    </xf>
    <xf numFmtId="0" fontId="1" fillId="6" borderId="0" xfId="0" applyFont="1" applyFill="1" applyBorder="1" applyAlignment="1">
      <alignment vertical="center"/>
    </xf>
    <xf numFmtId="0" fontId="5" fillId="6" borderId="0" xfId="0" applyFont="1" applyFill="1" applyBorder="1" applyAlignment="1">
      <alignment horizontal="left" vertical="center" wrapText="1"/>
    </xf>
    <xf numFmtId="0" fontId="0" fillId="6" borderId="0" xfId="0" applyFill="1" applyBorder="1" applyAlignment="1">
      <alignment horizontal="center" vertical="center"/>
    </xf>
    <xf numFmtId="0" fontId="10" fillId="6" borderId="0" xfId="0" applyFont="1" applyFill="1" applyBorder="1" applyAlignment="1">
      <alignment vertical="center"/>
    </xf>
    <xf numFmtId="0" fontId="11" fillId="6" borderId="0" xfId="0" applyFont="1" applyFill="1" applyBorder="1" applyAlignment="1">
      <alignment horizontal="center" vertical="center"/>
    </xf>
    <xf numFmtId="0" fontId="10" fillId="6" borderId="15" xfId="0" applyFont="1" applyFill="1" applyBorder="1" applyAlignment="1">
      <alignment vertical="center"/>
    </xf>
    <xf numFmtId="0" fontId="14" fillId="0" borderId="35" xfId="3" applyFont="1" applyFill="1" applyBorder="1" applyAlignment="1">
      <alignment vertical="center"/>
    </xf>
    <xf numFmtId="0" fontId="0" fillId="6" borderId="6" xfId="0" applyFill="1" applyBorder="1" applyAlignment="1">
      <alignment horizontal="center" vertical="center"/>
    </xf>
    <xf numFmtId="0" fontId="0" fillId="6" borderId="15" xfId="0" applyFont="1" applyFill="1" applyBorder="1" applyAlignment="1">
      <alignment vertical="center"/>
    </xf>
    <xf numFmtId="0" fontId="0" fillId="6" borderId="16" xfId="0" applyFill="1" applyBorder="1" applyAlignment="1">
      <alignment vertical="center"/>
    </xf>
    <xf numFmtId="0" fontId="0" fillId="6" borderId="17" xfId="0" applyFill="1" applyBorder="1" applyAlignment="1">
      <alignment vertical="center"/>
    </xf>
    <xf numFmtId="0" fontId="0" fillId="6" borderId="18" xfId="0" applyFill="1" applyBorder="1" applyAlignment="1">
      <alignment vertical="center"/>
    </xf>
    <xf numFmtId="0" fontId="0" fillId="6" borderId="0" xfId="0" applyFont="1" applyFill="1" applyBorder="1" applyAlignment="1">
      <alignment horizontal="left" vertical="center"/>
    </xf>
    <xf numFmtId="0" fontId="0" fillId="6" borderId="0" xfId="0" applyFill="1" applyBorder="1" applyAlignment="1">
      <alignment horizontal="left" vertical="center"/>
    </xf>
    <xf numFmtId="0" fontId="0" fillId="0" borderId="15" xfId="0" applyBorder="1" applyAlignment="1">
      <alignment vertical="center"/>
    </xf>
    <xf numFmtId="0" fontId="0" fillId="6" borderId="0" xfId="0" applyFill="1" applyAlignment="1">
      <alignment horizontal="left" vertical="center" wrapText="1"/>
    </xf>
    <xf numFmtId="0" fontId="0" fillId="0" borderId="19" xfId="0" applyBorder="1" applyAlignment="1">
      <alignment vertical="center"/>
    </xf>
    <xf numFmtId="0" fontId="0" fillId="0" borderId="0" xfId="0" applyAlignment="1">
      <alignment horizontal="center"/>
    </xf>
    <xf numFmtId="0" fontId="0" fillId="0" borderId="0" xfId="0" applyBorder="1" applyAlignment="1">
      <alignment horizontal="center" vertical="center"/>
    </xf>
    <xf numFmtId="0" fontId="0" fillId="0" borderId="42" xfId="0"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164" fontId="0" fillId="0" borderId="1" xfId="0" applyNumberFormat="1" applyBorder="1" applyAlignment="1">
      <alignment horizontal="center" vertical="center"/>
    </xf>
    <xf numFmtId="0" fontId="0" fillId="0" borderId="1" xfId="0" applyFill="1" applyBorder="1" applyAlignment="1">
      <alignment horizontal="center" vertical="center"/>
    </xf>
    <xf numFmtId="165" fontId="0" fillId="0" borderId="0" xfId="0" applyNumberFormat="1" applyFill="1" applyBorder="1" applyAlignment="1">
      <alignment horizontal="center" vertical="center"/>
    </xf>
    <xf numFmtId="164" fontId="0" fillId="0" borderId="45" xfId="0" applyNumberFormat="1" applyBorder="1" applyAlignment="1">
      <alignment horizontal="center" vertical="center"/>
    </xf>
    <xf numFmtId="164" fontId="0" fillId="0" borderId="46" xfId="0" applyNumberFormat="1" applyBorder="1" applyAlignment="1">
      <alignment horizontal="center" vertical="center"/>
    </xf>
    <xf numFmtId="164" fontId="0" fillId="0" borderId="3" xfId="0" applyNumberFormat="1" applyBorder="1" applyAlignment="1">
      <alignment horizontal="center" vertical="center"/>
    </xf>
    <xf numFmtId="164" fontId="0" fillId="0" borderId="0" xfId="0" applyNumberFormat="1" applyAlignment="1">
      <alignment horizontal="center" vertical="center"/>
    </xf>
    <xf numFmtId="0" fontId="25" fillId="0" borderId="0" xfId="0" applyFont="1" applyAlignment="1">
      <alignment horizontal="center" vertical="center"/>
    </xf>
    <xf numFmtId="2" fontId="0" fillId="0" borderId="1" xfId="0" applyNumberFormat="1" applyBorder="1" applyAlignment="1">
      <alignment horizontal="center" vertical="center"/>
    </xf>
    <xf numFmtId="0" fontId="0" fillId="0" borderId="0" xfId="0" applyAlignment="1">
      <alignment horizontal="center" vertical="center"/>
    </xf>
    <xf numFmtId="0" fontId="0" fillId="0" borderId="44" xfId="0" applyBorder="1" applyAlignment="1">
      <alignment horizontal="center" vertical="center"/>
    </xf>
    <xf numFmtId="1" fontId="0" fillId="0" borderId="1" xfId="0" applyNumberFormat="1" applyBorder="1" applyAlignment="1">
      <alignment horizontal="center" vertical="center"/>
    </xf>
    <xf numFmtId="1" fontId="0" fillId="0" borderId="1" xfId="0" applyNumberFormat="1" applyBorder="1" applyAlignment="1">
      <alignment horizontal="center"/>
    </xf>
    <xf numFmtId="1" fontId="0" fillId="0" borderId="0" xfId="0" applyNumberFormat="1" applyFill="1" applyBorder="1" applyAlignment="1">
      <alignment horizontal="center" vertical="center"/>
    </xf>
    <xf numFmtId="0" fontId="0" fillId="0" borderId="45" xfId="0" applyBorder="1" applyAlignment="1">
      <alignment horizontal="center" vertical="center"/>
    </xf>
    <xf numFmtId="0" fontId="0" fillId="0" borderId="3" xfId="0" applyBorder="1" applyAlignment="1">
      <alignment horizontal="center" vertical="center"/>
    </xf>
    <xf numFmtId="0" fontId="0" fillId="0" borderId="46" xfId="0" applyBorder="1" applyAlignment="1">
      <alignment horizontal="center" vertical="center"/>
    </xf>
    <xf numFmtId="0" fontId="0" fillId="0" borderId="0" xfId="0" applyBorder="1" applyAlignment="1">
      <alignment vertical="center"/>
    </xf>
    <xf numFmtId="1" fontId="0" fillId="0" borderId="3" xfId="0" applyNumberFormat="1" applyBorder="1" applyAlignment="1">
      <alignment horizontal="center" vertical="center"/>
    </xf>
    <xf numFmtId="1" fontId="0" fillId="0" borderId="0" xfId="0" applyNumberFormat="1" applyBorder="1" applyAlignment="1">
      <alignment horizontal="center" vertical="center"/>
    </xf>
    <xf numFmtId="1" fontId="0" fillId="0" borderId="0" xfId="0" applyNumberFormat="1" applyBorder="1" applyAlignment="1">
      <alignment horizontal="center"/>
    </xf>
    <xf numFmtId="1" fontId="0" fillId="0" borderId="46" xfId="0" applyNumberFormat="1" applyBorder="1" applyAlignment="1">
      <alignment horizontal="center" vertical="center"/>
    </xf>
    <xf numFmtId="0" fontId="0" fillId="0" borderId="39" xfId="0" applyBorder="1" applyAlignment="1">
      <alignment horizontal="center" vertical="center"/>
    </xf>
    <xf numFmtId="0" fontId="0" fillId="0" borderId="0" xfId="0" applyBorder="1" applyAlignment="1">
      <alignment horizontal="center"/>
    </xf>
    <xf numFmtId="2" fontId="5" fillId="0" borderId="47" xfId="0" applyNumberFormat="1" applyFont="1" applyBorder="1" applyAlignment="1">
      <alignment horizontal="center" vertical="center"/>
    </xf>
    <xf numFmtId="0" fontId="0" fillId="0" borderId="0" xfId="0" applyBorder="1" applyAlignment="1"/>
    <xf numFmtId="0" fontId="0" fillId="0" borderId="38" xfId="0" applyBorder="1" applyAlignment="1">
      <alignment horizontal="center" vertical="center"/>
    </xf>
    <xf numFmtId="0" fontId="0" fillId="0" borderId="40" xfId="0" applyBorder="1" applyAlignment="1">
      <alignment horizontal="center" vertical="center"/>
    </xf>
    <xf numFmtId="164" fontId="0" fillId="0" borderId="42" xfId="0" applyNumberFormat="1" applyBorder="1" applyAlignment="1">
      <alignment horizontal="center" vertical="center"/>
    </xf>
    <xf numFmtId="2" fontId="0" fillId="0" borderId="45" xfId="0" applyNumberFormat="1" applyBorder="1" applyAlignment="1">
      <alignment horizontal="center" vertical="center"/>
    </xf>
    <xf numFmtId="2" fontId="0" fillId="0" borderId="46" xfId="0" applyNumberFormat="1" applyBorder="1" applyAlignment="1">
      <alignment horizontal="center" vertical="center"/>
    </xf>
    <xf numFmtId="2" fontId="0" fillId="0" borderId="3" xfId="0" applyNumberFormat="1" applyBorder="1" applyAlignment="1">
      <alignment horizontal="center" vertical="center"/>
    </xf>
    <xf numFmtId="1" fontId="0" fillId="0" borderId="0" xfId="0" applyNumberFormat="1" applyFill="1" applyBorder="1" applyAlignment="1">
      <alignment vertical="center"/>
    </xf>
    <xf numFmtId="1" fontId="0" fillId="0" borderId="1" xfId="0" applyNumberFormat="1" applyFill="1" applyBorder="1" applyAlignment="1">
      <alignment horizontal="center" vertical="center"/>
    </xf>
    <xf numFmtId="1" fontId="0" fillId="0" borderId="1" xfId="0" applyNumberFormat="1" applyFill="1" applyBorder="1" applyAlignment="1">
      <alignment horizontal="center"/>
    </xf>
    <xf numFmtId="1" fontId="0" fillId="0" borderId="45" xfId="0" applyNumberFormat="1" applyBorder="1" applyAlignment="1">
      <alignment horizontal="center" vertical="center"/>
    </xf>
    <xf numFmtId="164" fontId="0" fillId="0" borderId="40" xfId="0" applyNumberFormat="1" applyBorder="1" applyAlignment="1">
      <alignment horizontal="center" vertical="center"/>
    </xf>
    <xf numFmtId="164" fontId="0" fillId="0" borderId="44" xfId="0" applyNumberFormat="1" applyBorder="1" applyAlignment="1">
      <alignment horizontal="center" vertical="center"/>
    </xf>
    <xf numFmtId="164" fontId="0" fillId="0" borderId="0" xfId="0" applyNumberFormat="1" applyBorder="1" applyAlignment="1">
      <alignment horizontal="center" vertical="center"/>
    </xf>
    <xf numFmtId="166" fontId="0" fillId="0" borderId="0" xfId="0" applyNumberFormat="1"/>
    <xf numFmtId="0" fontId="0" fillId="0" borderId="0" xfId="0" applyBorder="1" applyAlignment="1">
      <alignment vertical="center" wrapText="1"/>
    </xf>
    <xf numFmtId="164" fontId="0" fillId="0" borderId="38" xfId="0" applyNumberFormat="1" applyBorder="1" applyAlignment="1">
      <alignment horizontal="center" vertical="center"/>
    </xf>
    <xf numFmtId="164" fontId="0" fillId="0" borderId="41" xfId="0" applyNumberFormat="1" applyBorder="1" applyAlignment="1">
      <alignment horizontal="center" vertical="center"/>
    </xf>
    <xf numFmtId="164" fontId="0" fillId="0" borderId="43" xfId="0" applyNumberFormat="1" applyBorder="1" applyAlignment="1">
      <alignment horizontal="center" vertical="center"/>
    </xf>
    <xf numFmtId="2" fontId="0" fillId="0" borderId="40" xfId="0" applyNumberFormat="1" applyBorder="1" applyAlignment="1">
      <alignment horizontal="center" vertical="center"/>
    </xf>
    <xf numFmtId="2" fontId="0" fillId="0" borderId="42" xfId="0" applyNumberFormat="1" applyBorder="1" applyAlignment="1">
      <alignment horizontal="center" vertical="center"/>
    </xf>
    <xf numFmtId="2" fontId="0" fillId="0" borderId="44" xfId="0" applyNumberFormat="1" applyBorder="1" applyAlignment="1">
      <alignment horizontal="center" vertical="center"/>
    </xf>
    <xf numFmtId="164" fontId="0" fillId="0" borderId="39" xfId="0" applyNumberFormat="1" applyBorder="1" applyAlignment="1">
      <alignment horizontal="center" vertical="center"/>
    </xf>
    <xf numFmtId="164" fontId="0" fillId="0" borderId="6" xfId="0" applyNumberFormat="1" applyBorder="1" applyAlignment="1">
      <alignment horizontal="center" vertical="center"/>
    </xf>
    <xf numFmtId="166" fontId="0" fillId="0" borderId="0" xfId="0" applyNumberFormat="1" applyAlignment="1">
      <alignment horizontal="center" vertical="center"/>
    </xf>
    <xf numFmtId="1" fontId="0" fillId="0" borderId="45" xfId="0" applyNumberFormat="1" applyBorder="1"/>
    <xf numFmtId="1" fontId="0" fillId="0" borderId="46" xfId="0" applyNumberFormat="1" applyBorder="1"/>
    <xf numFmtId="1" fontId="0" fillId="0" borderId="3" xfId="0" applyNumberFormat="1" applyBorder="1"/>
    <xf numFmtId="2" fontId="0" fillId="0" borderId="0" xfId="0" applyNumberFormat="1" applyBorder="1" applyAlignment="1">
      <alignment horizontal="center"/>
    </xf>
    <xf numFmtId="167" fontId="0" fillId="0" borderId="0" xfId="0" applyNumberFormat="1"/>
    <xf numFmtId="0" fontId="0" fillId="0" borderId="0" xfId="0" applyFill="1" applyBorder="1" applyAlignment="1">
      <alignment horizontal="center" vertical="center"/>
    </xf>
    <xf numFmtId="0" fontId="0" fillId="0" borderId="0" xfId="0" applyFill="1"/>
    <xf numFmtId="2" fontId="5" fillId="0" borderId="48" xfId="0" applyNumberFormat="1" applyFont="1" applyBorder="1" applyAlignment="1">
      <alignment horizontal="center" vertical="center"/>
    </xf>
    <xf numFmtId="2" fontId="5" fillId="0" borderId="49" xfId="0" applyNumberFormat="1" applyFont="1" applyBorder="1" applyAlignment="1">
      <alignment horizontal="center" vertical="center"/>
    </xf>
    <xf numFmtId="2" fontId="5" fillId="0" borderId="50" xfId="0" applyNumberFormat="1" applyFont="1" applyBorder="1" applyAlignment="1">
      <alignment horizontal="center" vertical="center"/>
    </xf>
    <xf numFmtId="2" fontId="5" fillId="0" borderId="0" xfId="0" applyNumberFormat="1" applyFont="1"/>
    <xf numFmtId="0" fontId="1" fillId="5" borderId="1" xfId="0" applyFont="1" applyFill="1" applyBorder="1" applyAlignment="1">
      <alignment horizontal="center" vertical="top" wrapText="1"/>
    </xf>
    <xf numFmtId="0" fontId="5" fillId="4" borderId="1" xfId="8" applyFont="1" applyFill="1" applyBorder="1" applyAlignment="1">
      <alignment horizontal="left" vertical="center"/>
    </xf>
    <xf numFmtId="0" fontId="5" fillId="3" borderId="1" xfId="4" applyFont="1" applyFill="1" applyBorder="1" applyAlignment="1">
      <alignment horizontal="left" vertical="center"/>
    </xf>
    <xf numFmtId="0" fontId="5" fillId="2" borderId="1" xfId="6" applyFont="1" applyFill="1" applyBorder="1" applyAlignment="1">
      <alignment horizontal="left" vertical="center"/>
    </xf>
    <xf numFmtId="0" fontId="5" fillId="5" borderId="1" xfId="9" applyFont="1" applyFill="1" applyBorder="1" applyAlignment="1">
      <alignment horizontal="left" vertical="center"/>
    </xf>
    <xf numFmtId="0" fontId="5" fillId="3" borderId="1" xfId="7" applyFont="1" applyFill="1" applyBorder="1" applyAlignment="1">
      <alignment horizontal="center" vertical="center"/>
    </xf>
    <xf numFmtId="0" fontId="5" fillId="5" borderId="1" xfId="7" applyFont="1" applyFill="1" applyBorder="1" applyAlignment="1">
      <alignment horizontal="center" vertical="center"/>
    </xf>
    <xf numFmtId="0" fontId="5" fillId="4" borderId="2" xfId="7" applyFont="1" applyFill="1" applyBorder="1" applyAlignment="1">
      <alignment horizontal="center" vertical="center"/>
    </xf>
    <xf numFmtId="0" fontId="5" fillId="2" borderId="1" xfId="7" applyFont="1" applyFill="1" applyBorder="1" applyAlignment="1">
      <alignment horizontal="center" vertical="center"/>
    </xf>
    <xf numFmtId="0" fontId="9" fillId="7" borderId="5" xfId="3" applyFont="1" applyBorder="1" applyAlignment="1" applyProtection="1">
      <alignment horizontal="center" vertical="center"/>
      <protection locked="0"/>
    </xf>
    <xf numFmtId="0" fontId="0" fillId="6" borderId="13" xfId="0" applyFont="1" applyFill="1" applyBorder="1" applyAlignment="1" applyProtection="1">
      <alignment horizontal="center" vertical="center"/>
      <protection locked="0"/>
    </xf>
    <xf numFmtId="0" fontId="9" fillId="7" borderId="5" xfId="3" applyBorder="1" applyAlignment="1" applyProtection="1">
      <alignment horizontal="center" vertical="center"/>
      <protection locked="0"/>
    </xf>
    <xf numFmtId="0" fontId="1" fillId="4" borderId="1"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15" borderId="1" xfId="0" applyFont="1" applyFill="1" applyBorder="1" applyAlignment="1">
      <alignment horizontal="center" vertical="center"/>
    </xf>
    <xf numFmtId="0" fontId="1" fillId="15" borderId="1" xfId="0" applyFont="1" applyFill="1" applyBorder="1" applyAlignment="1">
      <alignment vertical="center"/>
    </xf>
    <xf numFmtId="0" fontId="1" fillId="16" borderId="1" xfId="0" applyFont="1" applyFill="1" applyBorder="1" applyAlignment="1">
      <alignment horizontal="center" vertical="center"/>
    </xf>
    <xf numFmtId="0" fontId="1" fillId="16" borderId="1" xfId="0" applyFont="1" applyFill="1" applyBorder="1" applyAlignment="1">
      <alignment vertical="center"/>
    </xf>
    <xf numFmtId="0" fontId="1" fillId="17" borderId="1" xfId="0" applyFont="1" applyFill="1" applyBorder="1" applyAlignment="1">
      <alignment horizontal="center" vertical="center"/>
    </xf>
    <xf numFmtId="0" fontId="1" fillId="17" borderId="1" xfId="0" applyFont="1" applyFill="1" applyBorder="1" applyAlignment="1">
      <alignment vertical="center"/>
    </xf>
    <xf numFmtId="0" fontId="1" fillId="18" borderId="1" xfId="0" applyFont="1" applyFill="1" applyBorder="1" applyAlignment="1">
      <alignment horizontal="center" vertical="center"/>
    </xf>
    <xf numFmtId="0" fontId="1" fillId="18" borderId="1" xfId="0" applyFont="1" applyFill="1" applyBorder="1" applyAlignment="1">
      <alignment vertical="center"/>
    </xf>
    <xf numFmtId="0" fontId="1" fillId="15" borderId="71" xfId="0" applyFont="1" applyFill="1" applyBorder="1" applyAlignment="1">
      <alignment horizontal="center" vertical="center"/>
    </xf>
    <xf numFmtId="0" fontId="37" fillId="15" borderId="75" xfId="0" applyFont="1" applyFill="1" applyBorder="1" applyAlignment="1">
      <alignment horizontal="center" vertical="center" wrapText="1"/>
    </xf>
    <xf numFmtId="0" fontId="1" fillId="15" borderId="72" xfId="0" applyFont="1" applyFill="1" applyBorder="1" applyAlignment="1">
      <alignment horizontal="center" vertical="center"/>
    </xf>
    <xf numFmtId="0" fontId="37" fillId="15" borderId="74" xfId="0" applyFont="1" applyFill="1" applyBorder="1" applyAlignment="1">
      <alignment horizontal="center" vertical="center" wrapText="1"/>
    </xf>
    <xf numFmtId="0" fontId="1" fillId="16" borderId="72" xfId="0" applyFont="1" applyFill="1" applyBorder="1" applyAlignment="1">
      <alignment horizontal="center" vertical="center"/>
    </xf>
    <xf numFmtId="0" fontId="37" fillId="16" borderId="74" xfId="0" applyFont="1" applyFill="1" applyBorder="1" applyAlignment="1">
      <alignment horizontal="center" vertical="center" wrapText="1"/>
    </xf>
    <xf numFmtId="0" fontId="1" fillId="17" borderId="72" xfId="0" applyFont="1" applyFill="1" applyBorder="1" applyAlignment="1">
      <alignment horizontal="center" vertical="center"/>
    </xf>
    <xf numFmtId="0" fontId="37" fillId="17" borderId="74" xfId="0" applyFont="1" applyFill="1" applyBorder="1" applyAlignment="1">
      <alignment horizontal="center" vertical="center" wrapText="1"/>
    </xf>
    <xf numFmtId="0" fontId="1" fillId="18" borderId="72" xfId="0" applyFont="1" applyFill="1" applyBorder="1" applyAlignment="1">
      <alignment horizontal="center" vertical="center"/>
    </xf>
    <xf numFmtId="0" fontId="1" fillId="18" borderId="74" xfId="0" applyFont="1" applyFill="1" applyBorder="1" applyAlignment="1">
      <alignment horizontal="center" vertical="center" wrapText="1"/>
    </xf>
    <xf numFmtId="0" fontId="1" fillId="18" borderId="73" xfId="0" applyFont="1" applyFill="1" applyBorder="1" applyAlignment="1">
      <alignment horizontal="center" vertical="center"/>
    </xf>
    <xf numFmtId="0" fontId="1" fillId="18" borderId="76" xfId="0" applyFont="1" applyFill="1" applyBorder="1" applyAlignment="1">
      <alignment horizontal="center" vertical="center" wrapText="1"/>
    </xf>
    <xf numFmtId="0" fontId="5" fillId="6" borderId="0" xfId="6" applyFont="1" applyFill="1" applyBorder="1" applyAlignment="1">
      <alignment horizontal="left" vertical="center"/>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43" xfId="0" applyBorder="1" applyAlignment="1">
      <alignment horizontal="center" vertical="center"/>
    </xf>
    <xf numFmtId="0" fontId="0" fillId="0" borderId="3" xfId="0" applyBorder="1" applyAlignment="1">
      <alignment horizontal="center" vertical="center"/>
    </xf>
    <xf numFmtId="0" fontId="0" fillId="6" borderId="0" xfId="0" applyFill="1" applyBorder="1"/>
    <xf numFmtId="0" fontId="23" fillId="6" borderId="0" xfId="0" applyFont="1" applyFill="1"/>
    <xf numFmtId="0" fontId="5" fillId="6" borderId="0" xfId="0" applyFont="1" applyFill="1" applyAlignment="1">
      <alignment horizontal="center" vertical="center"/>
    </xf>
    <xf numFmtId="0" fontId="0" fillId="6" borderId="81" xfId="0" applyFill="1" applyBorder="1" applyAlignment="1">
      <alignment vertical="center"/>
    </xf>
    <xf numFmtId="0" fontId="0" fillId="6" borderId="83" xfId="0" applyFill="1" applyBorder="1" applyAlignment="1">
      <alignment horizontal="center" vertical="center"/>
    </xf>
    <xf numFmtId="0" fontId="11" fillId="6" borderId="83" xfId="0" applyFont="1" applyFill="1" applyBorder="1" applyAlignment="1">
      <alignment horizontal="right" vertical="center"/>
    </xf>
    <xf numFmtId="0" fontId="11" fillId="6" borderId="83" xfId="0" applyFont="1" applyFill="1" applyBorder="1" applyAlignment="1">
      <alignment vertical="center"/>
    </xf>
    <xf numFmtId="0" fontId="0" fillId="6" borderId="82" xfId="0" applyFill="1" applyBorder="1" applyAlignment="1">
      <alignment vertical="center"/>
    </xf>
    <xf numFmtId="0" fontId="0" fillId="6" borderId="84" xfId="0" applyFont="1" applyFill="1" applyBorder="1" applyAlignment="1" applyProtection="1">
      <alignment horizontal="center" vertical="center"/>
      <protection locked="0"/>
    </xf>
    <xf numFmtId="0" fontId="0" fillId="6" borderId="85" xfId="0" applyFont="1" applyFill="1" applyBorder="1" applyAlignment="1" applyProtection="1">
      <alignment horizontal="center" vertical="center"/>
      <protection locked="0"/>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3" xfId="0" applyBorder="1" applyAlignment="1">
      <alignment horizontal="center" vertical="center"/>
    </xf>
    <xf numFmtId="0" fontId="0" fillId="6" borderId="86" xfId="0" applyFill="1" applyBorder="1"/>
    <xf numFmtId="0" fontId="0" fillId="6" borderId="87" xfId="0" applyFill="1" applyBorder="1"/>
    <xf numFmtId="2" fontId="5" fillId="6" borderId="87" xfId="0" applyNumberFormat="1" applyFont="1" applyFill="1" applyBorder="1" applyAlignment="1">
      <alignment horizontal="center" vertical="center"/>
    </xf>
    <xf numFmtId="2" fontId="0" fillId="6" borderId="87" xfId="0" applyNumberFormat="1" applyFill="1" applyBorder="1"/>
    <xf numFmtId="0" fontId="0" fillId="6" borderId="88" xfId="0" applyFill="1" applyBorder="1"/>
    <xf numFmtId="0" fontId="0" fillId="6" borderId="89" xfId="0" applyFill="1" applyBorder="1"/>
    <xf numFmtId="0" fontId="0" fillId="6" borderId="8" xfId="0" applyFill="1" applyBorder="1"/>
    <xf numFmtId="0" fontId="0" fillId="6" borderId="90" xfId="0" applyFill="1" applyBorder="1"/>
    <xf numFmtId="0" fontId="0" fillId="14" borderId="90" xfId="0" applyFill="1" applyBorder="1" applyAlignment="1">
      <alignment horizontal="center"/>
    </xf>
    <xf numFmtId="0" fontId="0" fillId="14" borderId="90" xfId="0" applyFill="1" applyBorder="1" applyAlignment="1">
      <alignment horizontal="center" vertical="center"/>
    </xf>
    <xf numFmtId="0" fontId="5" fillId="6" borderId="0" xfId="0" applyFont="1" applyFill="1" applyBorder="1" applyAlignment="1">
      <alignment horizontal="center" vertical="center"/>
    </xf>
    <xf numFmtId="0" fontId="0" fillId="6" borderId="90" xfId="0" applyFill="1" applyBorder="1" applyAlignment="1">
      <alignment horizontal="center" vertical="center"/>
    </xf>
    <xf numFmtId="2" fontId="5" fillId="6" borderId="0" xfId="0" applyNumberFormat="1" applyFont="1" applyFill="1" applyBorder="1" applyAlignment="1">
      <alignment horizontal="center" vertical="center"/>
    </xf>
    <xf numFmtId="0" fontId="0" fillId="3" borderId="91" xfId="0" applyFill="1" applyBorder="1" applyAlignment="1">
      <alignment horizontal="center"/>
    </xf>
    <xf numFmtId="0" fontId="0" fillId="3" borderId="90" xfId="0" applyFill="1" applyBorder="1" applyAlignment="1">
      <alignment horizontal="center" vertical="center"/>
    </xf>
    <xf numFmtId="0" fontId="5" fillId="6" borderId="0" xfId="0" applyFont="1" applyFill="1" applyBorder="1"/>
    <xf numFmtId="0" fontId="0" fillId="4" borderId="92" xfId="0" applyFill="1" applyBorder="1" applyAlignment="1">
      <alignment horizontal="center" vertical="center"/>
    </xf>
    <xf numFmtId="0" fontId="0" fillId="4" borderId="90" xfId="0" applyFill="1" applyBorder="1" applyAlignment="1">
      <alignment horizontal="center" vertical="center"/>
    </xf>
    <xf numFmtId="0" fontId="0" fillId="2" borderId="93" xfId="0" applyFill="1" applyBorder="1" applyAlignment="1">
      <alignment horizontal="center" vertical="center"/>
    </xf>
    <xf numFmtId="0" fontId="0" fillId="2" borderId="90" xfId="0" applyFill="1" applyBorder="1" applyAlignment="1">
      <alignment horizontal="center" vertical="center"/>
    </xf>
    <xf numFmtId="0" fontId="0" fillId="5" borderId="94" xfId="0" applyFill="1" applyBorder="1" applyAlignment="1">
      <alignment horizontal="center"/>
    </xf>
    <xf numFmtId="0" fontId="0" fillId="5" borderId="90" xfId="0" applyFill="1" applyBorder="1" applyAlignment="1">
      <alignment horizontal="center" vertical="center"/>
    </xf>
    <xf numFmtId="0" fontId="0" fillId="6" borderId="95" xfId="0" applyFill="1" applyBorder="1"/>
    <xf numFmtId="0" fontId="0" fillId="6" borderId="96" xfId="0" applyFill="1" applyBorder="1"/>
    <xf numFmtId="0" fontId="4" fillId="20" borderId="1" xfId="0" applyFont="1" applyFill="1" applyBorder="1" applyAlignment="1">
      <alignment horizontal="center" vertical="center"/>
    </xf>
    <xf numFmtId="0" fontId="37" fillId="20" borderId="1" xfId="0" applyFont="1" applyFill="1" applyBorder="1" applyAlignment="1">
      <alignment horizontal="center" vertical="center" wrapText="1"/>
    </xf>
    <xf numFmtId="0" fontId="11" fillId="20" borderId="1" xfId="0" applyFont="1" applyFill="1" applyBorder="1" applyAlignment="1">
      <alignment horizontal="left" vertical="center" wrapText="1"/>
    </xf>
    <xf numFmtId="0" fontId="16" fillId="20" borderId="1" xfId="1" applyFont="1" applyFill="1" applyBorder="1" applyAlignment="1">
      <alignment horizontal="left" vertical="center" wrapText="1"/>
    </xf>
    <xf numFmtId="0" fontId="11" fillId="20" borderId="1" xfId="0" applyFont="1" applyFill="1" applyBorder="1" applyAlignment="1">
      <alignment vertical="center" wrapText="1"/>
    </xf>
    <xf numFmtId="0" fontId="5" fillId="20" borderId="1" xfId="0" applyFont="1" applyFill="1" applyBorder="1" applyAlignment="1">
      <alignment horizontal="center" vertical="center" wrapText="1"/>
    </xf>
    <xf numFmtId="0" fontId="9" fillId="7" borderId="5" xfId="3" quotePrefix="1" applyBorder="1" applyAlignment="1" applyProtection="1">
      <alignment horizontal="center" vertical="center"/>
      <protection locked="0"/>
    </xf>
    <xf numFmtId="0" fontId="36" fillId="19" borderId="7" xfId="5" applyFont="1" applyFill="1" applyBorder="1" applyAlignment="1">
      <alignment horizontal="center" vertical="center"/>
    </xf>
    <xf numFmtId="0" fontId="36" fillId="19" borderId="9" xfId="5" applyFont="1" applyFill="1" applyBorder="1" applyAlignment="1">
      <alignment horizontal="center" vertical="center"/>
    </xf>
    <xf numFmtId="0" fontId="0" fillId="6" borderId="39" xfId="0" applyFill="1" applyBorder="1" applyAlignment="1">
      <alignment horizontal="center" vertical="center" wrapText="1"/>
    </xf>
    <xf numFmtId="0" fontId="0" fillId="6" borderId="0" xfId="0" applyFill="1" applyBorder="1" applyAlignment="1">
      <alignment horizontal="center" vertical="center" wrapText="1"/>
    </xf>
    <xf numFmtId="0" fontId="1" fillId="2" borderId="1" xfId="0" applyFont="1" applyFill="1" applyBorder="1" applyAlignment="1">
      <alignment horizontal="center" vertical="center" wrapText="1"/>
    </xf>
    <xf numFmtId="0" fontId="3" fillId="2" borderId="79" xfId="0" applyFont="1" applyFill="1" applyBorder="1" applyAlignment="1">
      <alignment horizontal="center" vertical="center" wrapText="1"/>
    </xf>
    <xf numFmtId="0" fontId="3" fillId="2" borderId="80"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3" fillId="5" borderId="1" xfId="0" applyFont="1" applyFill="1" applyBorder="1" applyAlignment="1">
      <alignment horizontal="center" vertical="center" wrapText="1"/>
    </xf>
    <xf numFmtId="0" fontId="36" fillId="19" borderId="10" xfId="5" applyFont="1" applyFill="1" applyBorder="1" applyAlignment="1">
      <alignment horizontal="center" vertical="center"/>
    </xf>
    <xf numFmtId="0" fontId="36" fillId="19" borderId="12" xfId="5" applyFont="1" applyFill="1" applyBorder="1" applyAlignment="1">
      <alignment horizontal="center" vertical="center"/>
    </xf>
    <xf numFmtId="0" fontId="36" fillId="19" borderId="8" xfId="5" applyFont="1" applyFill="1" applyBorder="1" applyAlignment="1">
      <alignment horizontal="center" vertical="center"/>
    </xf>
    <xf numFmtId="0" fontId="36" fillId="19" borderId="11" xfId="5" applyFont="1" applyFill="1" applyBorder="1" applyAlignment="1">
      <alignment horizontal="center" vertical="center"/>
    </xf>
    <xf numFmtId="0" fontId="17" fillId="6" borderId="60" xfId="5" applyFont="1" applyFill="1" applyBorder="1" applyAlignment="1">
      <alignment horizontal="center" vertical="center"/>
    </xf>
    <xf numFmtId="0" fontId="17" fillId="6" borderId="61" xfId="5" applyFont="1" applyFill="1" applyBorder="1" applyAlignment="1">
      <alignment horizontal="center" vertical="center"/>
    </xf>
    <xf numFmtId="0" fontId="17" fillId="6" borderId="62" xfId="5" applyFont="1" applyFill="1" applyBorder="1" applyAlignment="1">
      <alignment horizontal="center" vertical="center"/>
    </xf>
    <xf numFmtId="0" fontId="17" fillId="6" borderId="63" xfId="5" applyFont="1" applyFill="1" applyBorder="1" applyAlignment="1">
      <alignment horizontal="center" vertical="center"/>
    </xf>
    <xf numFmtId="0" fontId="17" fillId="6" borderId="64" xfId="5" applyFont="1" applyFill="1" applyBorder="1" applyAlignment="1">
      <alignment horizontal="center" vertical="center"/>
    </xf>
    <xf numFmtId="0" fontId="17" fillId="6" borderId="65" xfId="5" applyFont="1" applyFill="1" applyBorder="1" applyAlignment="1">
      <alignment horizontal="center" vertical="center"/>
    </xf>
    <xf numFmtId="0" fontId="1" fillId="3" borderId="1" xfId="0" applyFont="1" applyFill="1" applyBorder="1" applyAlignment="1">
      <alignment horizontal="center" vertical="center" wrapText="1"/>
    </xf>
    <xf numFmtId="0" fontId="3" fillId="3" borderId="79" xfId="0" applyFont="1" applyFill="1" applyBorder="1" applyAlignment="1">
      <alignment horizontal="center" vertical="center" wrapText="1"/>
    </xf>
    <xf numFmtId="0" fontId="3" fillId="3" borderId="80"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3" fillId="4" borderId="79" xfId="0" applyFont="1" applyFill="1" applyBorder="1" applyAlignment="1">
      <alignment horizontal="center" vertical="center" wrapText="1"/>
    </xf>
    <xf numFmtId="0" fontId="3" fillId="4" borderId="80"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9" fillId="7" borderId="37" xfId="3" applyBorder="1" applyAlignment="1">
      <alignment horizontal="center" vertical="center"/>
    </xf>
    <xf numFmtId="0" fontId="9" fillId="7" borderId="36" xfId="3" applyBorder="1" applyAlignment="1">
      <alignment horizontal="center" vertical="center"/>
    </xf>
    <xf numFmtId="0" fontId="15" fillId="6" borderId="83" xfId="0" applyFont="1" applyFill="1" applyBorder="1" applyAlignment="1">
      <alignment horizontal="center" vertical="center"/>
    </xf>
    <xf numFmtId="0" fontId="15" fillId="6" borderId="0" xfId="0" applyFont="1" applyFill="1" applyBorder="1" applyAlignment="1">
      <alignment horizontal="center" vertical="center"/>
    </xf>
    <xf numFmtId="0" fontId="21" fillId="16" borderId="29" xfId="2" applyFont="1" applyFill="1" applyBorder="1" applyAlignment="1">
      <alignment horizontal="center" vertical="center"/>
    </xf>
    <xf numFmtId="0" fontId="21" fillId="16" borderId="30" xfId="2" applyFont="1" applyFill="1" applyBorder="1" applyAlignment="1">
      <alignment horizontal="center" vertical="center"/>
    </xf>
    <xf numFmtId="0" fontId="21" fillId="16" borderId="31" xfId="2" applyFont="1" applyFill="1" applyBorder="1" applyAlignment="1">
      <alignment horizontal="center" vertical="center"/>
    </xf>
    <xf numFmtId="0" fontId="20" fillId="17" borderId="26" xfId="2" applyFont="1" applyFill="1" applyBorder="1" applyAlignment="1">
      <alignment horizontal="center" vertical="center"/>
    </xf>
    <xf numFmtId="0" fontId="20" fillId="17" borderId="27" xfId="2" applyFont="1" applyFill="1" applyBorder="1" applyAlignment="1">
      <alignment horizontal="center" vertical="center"/>
    </xf>
    <xf numFmtId="0" fontId="20" fillId="17" borderId="28" xfId="2" applyFont="1" applyFill="1" applyBorder="1" applyAlignment="1">
      <alignment horizontal="center" vertical="center"/>
    </xf>
    <xf numFmtId="0" fontId="19" fillId="18" borderId="23" xfId="2" applyFont="1" applyFill="1" applyBorder="1" applyAlignment="1">
      <alignment horizontal="center" vertical="center"/>
    </xf>
    <xf numFmtId="0" fontId="19" fillId="18" borderId="24" xfId="2" applyFont="1" applyFill="1" applyBorder="1" applyAlignment="1">
      <alignment horizontal="center" vertical="center"/>
    </xf>
    <xf numFmtId="0" fontId="19" fillId="18" borderId="25" xfId="2" applyFont="1" applyFill="1" applyBorder="1" applyAlignment="1">
      <alignment horizontal="center" vertical="center"/>
    </xf>
    <xf numFmtId="0" fontId="18" fillId="13" borderId="20" xfId="2" applyFont="1" applyFill="1" applyBorder="1" applyAlignment="1">
      <alignment horizontal="center" vertical="center"/>
    </xf>
    <xf numFmtId="0" fontId="18" fillId="13" borderId="21" xfId="2" applyFont="1" applyFill="1" applyBorder="1" applyAlignment="1">
      <alignment horizontal="center" vertical="center"/>
    </xf>
    <xf numFmtId="0" fontId="18" fillId="13" borderId="22" xfId="2" applyFont="1" applyFill="1" applyBorder="1" applyAlignment="1">
      <alignment horizontal="center" vertical="center"/>
    </xf>
    <xf numFmtId="0" fontId="9" fillId="7" borderId="37" xfId="3" applyFont="1" applyBorder="1" applyAlignment="1">
      <alignment horizontal="center" vertical="center"/>
    </xf>
    <xf numFmtId="0" fontId="9" fillId="7" borderId="36" xfId="3" applyFont="1" applyBorder="1" applyAlignment="1">
      <alignment horizontal="center" vertical="center"/>
    </xf>
    <xf numFmtId="0" fontId="5" fillId="6" borderId="63" xfId="0" applyFont="1" applyFill="1" applyBorder="1" applyAlignment="1">
      <alignment horizontal="left" vertical="center" wrapText="1"/>
    </xf>
    <xf numFmtId="0" fontId="5" fillId="6" borderId="64" xfId="0" applyFont="1" applyFill="1" applyBorder="1" applyAlignment="1">
      <alignment horizontal="left" vertical="center" wrapText="1"/>
    </xf>
    <xf numFmtId="0" fontId="5" fillId="6" borderId="65" xfId="0" applyFont="1" applyFill="1" applyBorder="1" applyAlignment="1">
      <alignment horizontal="left" vertical="center" wrapText="1"/>
    </xf>
    <xf numFmtId="0" fontId="0" fillId="6" borderId="77" xfId="0" applyFill="1" applyBorder="1" applyAlignment="1">
      <alignment horizontal="left" vertical="center" wrapText="1"/>
    </xf>
    <xf numFmtId="0" fontId="0" fillId="6" borderId="0" xfId="0" applyFill="1" applyBorder="1" applyAlignment="1">
      <alignment horizontal="left" vertical="center" wrapText="1"/>
    </xf>
    <xf numFmtId="0" fontId="0" fillId="6" borderId="78" xfId="0" applyFill="1" applyBorder="1" applyAlignment="1">
      <alignment horizontal="left" vertical="center" wrapText="1"/>
    </xf>
    <xf numFmtId="0" fontId="0" fillId="6" borderId="60" xfId="0" applyFill="1" applyBorder="1" applyAlignment="1">
      <alignment horizontal="left" vertical="center" wrapText="1"/>
    </xf>
    <xf numFmtId="0" fontId="0" fillId="6" borderId="61" xfId="0" applyFill="1" applyBorder="1" applyAlignment="1">
      <alignment horizontal="left" vertical="center" wrapText="1"/>
    </xf>
    <xf numFmtId="0" fontId="0" fillId="6" borderId="62" xfId="0" applyFill="1" applyBorder="1" applyAlignment="1">
      <alignment horizontal="left" vertical="center" wrapText="1"/>
    </xf>
    <xf numFmtId="0" fontId="35" fillId="19" borderId="7" xfId="5" applyFont="1" applyFill="1" applyBorder="1" applyAlignment="1">
      <alignment horizontal="center" vertical="center"/>
    </xf>
    <xf numFmtId="0" fontId="35" fillId="19" borderId="8" xfId="5" applyFont="1" applyFill="1" applyBorder="1" applyAlignment="1">
      <alignment horizontal="center" vertical="center"/>
    </xf>
    <xf numFmtId="0" fontId="35" fillId="19" borderId="9" xfId="5" applyFont="1" applyFill="1" applyBorder="1" applyAlignment="1">
      <alignment horizontal="center" vertical="center"/>
    </xf>
    <xf numFmtId="0" fontId="35" fillId="19" borderId="10" xfId="5" applyFont="1" applyFill="1" applyBorder="1" applyAlignment="1">
      <alignment horizontal="center" vertical="center"/>
    </xf>
    <xf numFmtId="0" fontId="35" fillId="19" borderId="11" xfId="5" applyFont="1" applyFill="1" applyBorder="1" applyAlignment="1">
      <alignment horizontal="center" vertical="center"/>
    </xf>
    <xf numFmtId="0" fontId="35" fillId="19" borderId="12" xfId="5" applyFont="1" applyFill="1" applyBorder="1" applyAlignment="1">
      <alignment horizontal="center" vertical="center"/>
    </xf>
    <xf numFmtId="0" fontId="22" fillId="15" borderId="32" xfId="2" applyFont="1" applyFill="1" applyBorder="1" applyAlignment="1">
      <alignment horizontal="center" vertical="center"/>
    </xf>
    <xf numFmtId="0" fontId="22" fillId="15" borderId="33" xfId="2" applyFont="1" applyFill="1" applyBorder="1" applyAlignment="1">
      <alignment horizontal="center" vertical="center"/>
    </xf>
    <xf numFmtId="0" fontId="22" fillId="15" borderId="34" xfId="2" applyFont="1" applyFill="1" applyBorder="1" applyAlignment="1">
      <alignment horizontal="center" vertical="center"/>
    </xf>
    <xf numFmtId="0" fontId="0" fillId="0" borderId="38" xfId="0" applyBorder="1" applyAlignment="1">
      <alignment horizontal="center" vertical="center"/>
    </xf>
    <xf numFmtId="0" fontId="0" fillId="0" borderId="41" xfId="0" applyBorder="1" applyAlignment="1">
      <alignment horizontal="center" vertical="center"/>
    </xf>
    <xf numFmtId="0" fontId="0" fillId="0" borderId="43" xfId="0" applyBorder="1" applyAlignment="1">
      <alignment horizontal="center" vertical="center"/>
    </xf>
    <xf numFmtId="0" fontId="25" fillId="0" borderId="45" xfId="0" applyFont="1" applyBorder="1" applyAlignment="1">
      <alignment horizontal="center" vertical="center" wrapText="1"/>
    </xf>
    <xf numFmtId="0" fontId="0" fillId="0" borderId="46" xfId="0" applyBorder="1" applyAlignment="1">
      <alignment horizontal="center" vertical="center" wrapText="1"/>
    </xf>
    <xf numFmtId="0" fontId="0" fillId="0" borderId="45" xfId="0" applyBorder="1" applyAlignment="1">
      <alignment horizontal="center" vertical="center"/>
    </xf>
    <xf numFmtId="0" fontId="0" fillId="0" borderId="46" xfId="0" applyBorder="1" applyAlignment="1">
      <alignment horizontal="center" vertical="center"/>
    </xf>
    <xf numFmtId="0" fontId="5" fillId="0" borderId="48" xfId="0" applyFont="1" applyBorder="1" applyAlignment="1">
      <alignment horizontal="center" vertical="center"/>
    </xf>
    <xf numFmtId="0" fontId="5" fillId="0" borderId="49" xfId="0" applyFont="1" applyBorder="1" applyAlignment="1">
      <alignment horizontal="center" vertical="center"/>
    </xf>
    <xf numFmtId="0" fontId="0" fillId="0" borderId="45" xfId="0" applyBorder="1" applyAlignment="1">
      <alignment horizontal="center" vertical="center" wrapText="1"/>
    </xf>
    <xf numFmtId="0" fontId="0" fillId="0" borderId="3" xfId="0" applyBorder="1" applyAlignment="1">
      <alignment horizontal="center" vertical="center" wrapText="1"/>
    </xf>
    <xf numFmtId="0" fontId="0" fillId="0" borderId="38" xfId="0" applyBorder="1" applyAlignment="1">
      <alignment horizontal="center" vertical="center" wrapText="1"/>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0" xfId="0" applyBorder="1" applyAlignment="1">
      <alignment horizontal="center" vertical="center" wrapText="1"/>
    </xf>
    <xf numFmtId="0" fontId="0" fillId="0" borderId="42" xfId="0" applyBorder="1" applyAlignment="1">
      <alignment horizontal="center" vertical="center" wrapText="1"/>
    </xf>
    <xf numFmtId="0" fontId="0" fillId="0" borderId="43" xfId="0" applyBorder="1" applyAlignment="1">
      <alignment horizontal="center" vertical="center" wrapText="1"/>
    </xf>
    <xf numFmtId="0" fontId="0" fillId="0" borderId="6" xfId="0" applyBorder="1" applyAlignment="1">
      <alignment horizontal="center" vertical="center" wrapText="1"/>
    </xf>
    <xf numFmtId="0" fontId="0" fillId="0" borderId="44" xfId="0" applyBorder="1" applyAlignment="1">
      <alignment horizontal="center" vertical="center" wrapText="1"/>
    </xf>
    <xf numFmtId="0" fontId="0" fillId="0" borderId="3" xfId="0" applyBorder="1" applyAlignment="1">
      <alignment horizontal="center" vertical="center"/>
    </xf>
    <xf numFmtId="0" fontId="25" fillId="0" borderId="46" xfId="0" applyFont="1" applyBorder="1" applyAlignment="1">
      <alignment horizontal="center" vertical="center" wrapText="1"/>
    </xf>
    <xf numFmtId="0" fontId="25" fillId="0" borderId="3" xfId="0" applyFont="1" applyBorder="1" applyAlignment="1">
      <alignment horizontal="center" vertical="center" wrapText="1"/>
    </xf>
    <xf numFmtId="0" fontId="21" fillId="16" borderId="66" xfId="2" applyFont="1" applyFill="1" applyBorder="1" applyAlignment="1">
      <alignment horizontal="center" vertical="center"/>
    </xf>
    <xf numFmtId="0" fontId="21" fillId="16" borderId="67" xfId="2" applyFont="1" applyFill="1" applyBorder="1" applyAlignment="1">
      <alignment horizontal="center" vertical="center"/>
    </xf>
    <xf numFmtId="0" fontId="21" fillId="16" borderId="68" xfId="2" applyFont="1" applyFill="1" applyBorder="1" applyAlignment="1">
      <alignment horizontal="center" vertical="center"/>
    </xf>
    <xf numFmtId="0" fontId="22" fillId="15" borderId="51" xfId="2" applyFont="1" applyFill="1" applyBorder="1" applyAlignment="1">
      <alignment horizontal="center" vertical="center"/>
    </xf>
    <xf numFmtId="0" fontId="22" fillId="15" borderId="52" xfId="2" applyFont="1" applyFill="1" applyBorder="1" applyAlignment="1">
      <alignment horizontal="center" vertical="center"/>
    </xf>
    <xf numFmtId="0" fontId="22" fillId="15" borderId="53" xfId="2" applyFont="1" applyFill="1" applyBorder="1" applyAlignment="1">
      <alignment horizontal="center" vertical="center"/>
    </xf>
    <xf numFmtId="0" fontId="20" fillId="17" borderId="54" xfId="2" applyFont="1" applyFill="1" applyBorder="1" applyAlignment="1">
      <alignment horizontal="center" vertical="center"/>
    </xf>
    <xf numFmtId="0" fontId="20" fillId="17" borderId="55" xfId="2" applyFont="1" applyFill="1" applyBorder="1" applyAlignment="1">
      <alignment horizontal="center" vertical="center"/>
    </xf>
    <xf numFmtId="0" fontId="20" fillId="17" borderId="56" xfId="2" applyFont="1" applyFill="1" applyBorder="1" applyAlignment="1">
      <alignment horizontal="center" vertical="center"/>
    </xf>
    <xf numFmtId="0" fontId="19" fillId="18" borderId="57" xfId="2" applyFont="1" applyFill="1" applyBorder="1" applyAlignment="1">
      <alignment horizontal="center" vertical="center"/>
    </xf>
    <xf numFmtId="0" fontId="19" fillId="18" borderId="58" xfId="2" applyFont="1" applyFill="1" applyBorder="1" applyAlignment="1">
      <alignment horizontal="center" vertical="center"/>
    </xf>
    <xf numFmtId="0" fontId="19" fillId="18" borderId="59" xfId="2" applyFont="1" applyFill="1" applyBorder="1" applyAlignment="1">
      <alignment horizontal="center" vertical="center"/>
    </xf>
    <xf numFmtId="0" fontId="38" fillId="19" borderId="20" xfId="5" applyFont="1" applyFill="1" applyBorder="1" applyAlignment="1">
      <alignment horizontal="center" vertical="center"/>
    </xf>
    <xf numFmtId="0" fontId="38" fillId="19" borderId="21" xfId="5" applyFont="1" applyFill="1" applyBorder="1" applyAlignment="1">
      <alignment horizontal="center" vertical="center"/>
    </xf>
    <xf numFmtId="0" fontId="38" fillId="19" borderId="22" xfId="5" applyFont="1" applyFill="1" applyBorder="1" applyAlignment="1">
      <alignment horizontal="center" vertical="center"/>
    </xf>
    <xf numFmtId="0" fontId="32" fillId="6" borderId="69" xfId="2" applyFont="1" applyFill="1" applyBorder="1" applyAlignment="1">
      <alignment horizontal="center" vertical="center"/>
    </xf>
    <xf numFmtId="0" fontId="32" fillId="6" borderId="70" xfId="2" applyFont="1" applyFill="1" applyBorder="1" applyAlignment="1">
      <alignment horizontal="center" vertical="center"/>
    </xf>
    <xf numFmtId="0" fontId="33" fillId="6" borderId="58" xfId="2" applyFont="1" applyFill="1" applyBorder="1" applyAlignment="1">
      <alignment horizontal="center" vertical="center"/>
    </xf>
    <xf numFmtId="0" fontId="33" fillId="6" borderId="59" xfId="2" applyFont="1" applyFill="1" applyBorder="1" applyAlignment="1">
      <alignment horizontal="center" vertical="center"/>
    </xf>
    <xf numFmtId="0" fontId="34" fillId="6" borderId="20" xfId="2" applyFont="1" applyFill="1" applyBorder="1" applyAlignment="1">
      <alignment horizontal="center" vertical="center"/>
    </xf>
    <xf numFmtId="0" fontId="34" fillId="6" borderId="21" xfId="2" applyFont="1" applyFill="1" applyBorder="1" applyAlignment="1">
      <alignment horizontal="center" vertical="center"/>
    </xf>
    <xf numFmtId="0" fontId="34" fillId="6" borderId="22" xfId="2" applyFont="1" applyFill="1" applyBorder="1" applyAlignment="1">
      <alignment horizontal="center" vertical="center"/>
    </xf>
    <xf numFmtId="0" fontId="30" fillId="6" borderId="51" xfId="2" applyFont="1" applyFill="1" applyBorder="1" applyAlignment="1">
      <alignment horizontal="center" vertical="center"/>
    </xf>
    <xf numFmtId="0" fontId="30" fillId="6" borderId="52" xfId="2" applyFont="1" applyFill="1" applyBorder="1" applyAlignment="1">
      <alignment horizontal="center" vertical="center"/>
    </xf>
    <xf numFmtId="0" fontId="30" fillId="6" borderId="53" xfId="2" applyFont="1" applyFill="1" applyBorder="1" applyAlignment="1">
      <alignment horizontal="center" vertical="center"/>
    </xf>
    <xf numFmtId="0" fontId="31" fillId="6" borderId="67" xfId="2" applyFont="1" applyFill="1" applyBorder="1" applyAlignment="1">
      <alignment horizontal="center" vertical="center"/>
    </xf>
    <xf numFmtId="0" fontId="31" fillId="6" borderId="68" xfId="2" applyFont="1" applyFill="1" applyBorder="1" applyAlignment="1">
      <alignment horizontal="center" vertical="center"/>
    </xf>
  </cellXfs>
  <cellStyles count="10">
    <cellStyle name="20 % - Accent1" xfId="4" builtinId="30"/>
    <cellStyle name="40 % - Accent2" xfId="6" builtinId="35"/>
    <cellStyle name="40 % - Accent3" xfId="7" builtinId="39"/>
    <cellStyle name="40 % - Accent4" xfId="8" builtinId="43"/>
    <cellStyle name="40 % - Accent6" xfId="9" builtinId="51"/>
    <cellStyle name="Lien hypertexte" xfId="1" builtinId="8"/>
    <cellStyle name="Normal" xfId="0" builtinId="0"/>
    <cellStyle name="Titre" xfId="5" builtinId="15"/>
    <cellStyle name="Titre 1" xfId="2" builtinId="16"/>
    <cellStyle name="Vérification" xfId="3" builtinId="23"/>
  </cellStyles>
  <dxfs count="13">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FFC000"/>
        </patternFill>
      </fill>
    </dxf>
  </dxfs>
  <tableStyles count="0" defaultTableStyle="TableStyleMedium2" defaultPivotStyle="PivotStyleLight16"/>
  <colors>
    <mruColors>
      <color rgb="FFCC99FF"/>
      <color rgb="FFA80FC1"/>
      <color rgb="FF99CC00"/>
      <color rgb="FF20F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photovoltaique.info/fr/tarifs-dachat-et-autoconsommation/autres-aides-financieres/appels-a-projets-et-aides-regionale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7C9DC-F271-41D7-B301-22467E7352CB}">
  <sheetPr codeName="Feuil1">
    <tabColor theme="9"/>
  </sheetPr>
  <dimension ref="A1:N68"/>
  <sheetViews>
    <sheetView zoomScale="85" zoomScaleNormal="85" workbookViewId="0">
      <selection activeCell="C33" sqref="C33"/>
    </sheetView>
  </sheetViews>
  <sheetFormatPr baseColWidth="10" defaultRowHeight="14.5" x14ac:dyDescent="0.35"/>
  <cols>
    <col min="1" max="1" width="10.81640625" style="7"/>
    <col min="2" max="2" width="10.1796875" style="7" customWidth="1"/>
    <col min="3" max="3" width="61.54296875" style="7" customWidth="1"/>
    <col min="4" max="4" width="75.453125" style="7" customWidth="1"/>
    <col min="5" max="5" width="70.7265625" style="7" customWidth="1"/>
    <col min="6" max="6" width="50.453125" style="7" customWidth="1"/>
    <col min="7" max="14" width="10.81640625" style="7"/>
    <col min="15" max="16384" width="10.90625" style="1"/>
  </cols>
  <sheetData>
    <row r="1" spans="1:14" ht="15" thickBot="1" x14ac:dyDescent="0.4"/>
    <row r="2" spans="1:14" ht="15.75" customHeight="1" x14ac:dyDescent="0.35">
      <c r="A2" s="1"/>
      <c r="B2" s="184" t="s">
        <v>56</v>
      </c>
      <c r="C2" s="196"/>
      <c r="D2" s="196"/>
      <c r="E2" s="196"/>
      <c r="F2" s="185"/>
      <c r="G2" s="1"/>
      <c r="H2" s="1"/>
      <c r="I2" s="1"/>
      <c r="J2" s="1"/>
      <c r="K2" s="1"/>
      <c r="L2" s="1"/>
      <c r="M2" s="1"/>
      <c r="N2" s="1"/>
    </row>
    <row r="3" spans="1:14" ht="15.75" customHeight="1" thickBot="1" x14ac:dyDescent="0.4">
      <c r="A3" s="1"/>
      <c r="B3" s="194"/>
      <c r="C3" s="197"/>
      <c r="D3" s="197"/>
      <c r="E3" s="197"/>
      <c r="F3" s="195"/>
      <c r="G3" s="1"/>
      <c r="H3" s="1"/>
      <c r="I3" s="1"/>
      <c r="J3" s="1"/>
      <c r="K3" s="1"/>
      <c r="L3" s="1"/>
      <c r="M3" s="1"/>
      <c r="N3" s="1"/>
    </row>
    <row r="4" spans="1:14" ht="15.75" customHeight="1" thickBot="1" x14ac:dyDescent="0.4">
      <c r="A4" s="1"/>
      <c r="B4" s="3"/>
      <c r="C4" s="3"/>
      <c r="D4" s="3"/>
      <c r="E4" s="3"/>
      <c r="F4" s="3"/>
      <c r="G4" s="1"/>
      <c r="H4" s="1"/>
      <c r="I4" s="1"/>
      <c r="J4" s="1"/>
      <c r="K4" s="1"/>
      <c r="L4" s="1"/>
      <c r="M4" s="1"/>
      <c r="N4" s="1"/>
    </row>
    <row r="5" spans="1:14" ht="15.75" customHeight="1" x14ac:dyDescent="0.35">
      <c r="A5" s="1"/>
      <c r="B5" s="198" t="s">
        <v>57</v>
      </c>
      <c r="C5" s="199"/>
      <c r="D5" s="199"/>
      <c r="E5" s="199"/>
      <c r="F5" s="200"/>
      <c r="G5" s="1"/>
      <c r="H5" s="1"/>
      <c r="I5" s="1"/>
      <c r="J5" s="1"/>
      <c r="K5" s="1"/>
      <c r="L5" s="1"/>
      <c r="M5" s="1"/>
      <c r="N5" s="1"/>
    </row>
    <row r="6" spans="1:14" ht="15.75" customHeight="1" thickBot="1" x14ac:dyDescent="0.4">
      <c r="A6" s="1"/>
      <c r="B6" s="201"/>
      <c r="C6" s="202"/>
      <c r="D6" s="202"/>
      <c r="E6" s="202"/>
      <c r="F6" s="203"/>
      <c r="G6" s="1"/>
      <c r="H6" s="1"/>
      <c r="I6" s="1"/>
      <c r="J6" s="1"/>
      <c r="K6" s="1"/>
      <c r="L6" s="1"/>
      <c r="M6" s="1"/>
      <c r="N6" s="1"/>
    </row>
    <row r="7" spans="1:14" ht="15.5" x14ac:dyDescent="0.35">
      <c r="A7" s="1"/>
      <c r="B7" s="2"/>
      <c r="C7" s="8"/>
      <c r="D7" s="30"/>
      <c r="E7" s="30"/>
      <c r="F7" s="30"/>
      <c r="G7" s="1"/>
      <c r="H7" s="1"/>
      <c r="I7" s="1"/>
      <c r="J7" s="1"/>
      <c r="K7" s="1"/>
      <c r="L7" s="1"/>
      <c r="M7" s="1"/>
      <c r="N7" s="1"/>
    </row>
    <row r="8" spans="1:14" ht="23.5" customHeight="1" x14ac:dyDescent="0.35">
      <c r="A8" s="1"/>
      <c r="B8" s="204" t="s">
        <v>42</v>
      </c>
      <c r="C8" s="205" t="s">
        <v>14</v>
      </c>
      <c r="D8" s="206"/>
      <c r="E8" s="206"/>
      <c r="F8" s="207"/>
      <c r="G8" s="1"/>
      <c r="H8" s="1"/>
      <c r="I8" s="1"/>
      <c r="J8" s="1"/>
      <c r="K8" s="1"/>
      <c r="L8" s="1"/>
      <c r="M8" s="1"/>
      <c r="N8" s="1"/>
    </row>
    <row r="9" spans="1:14" ht="18.5" x14ac:dyDescent="0.35">
      <c r="A9" s="1"/>
      <c r="B9" s="204"/>
      <c r="C9" s="113" t="s">
        <v>0</v>
      </c>
      <c r="D9" s="113" t="s">
        <v>2</v>
      </c>
      <c r="E9" s="113" t="s">
        <v>3</v>
      </c>
      <c r="F9" s="113" t="s">
        <v>1</v>
      </c>
      <c r="G9" s="1"/>
      <c r="H9" s="1"/>
      <c r="I9" s="1"/>
      <c r="J9" s="1"/>
      <c r="K9" s="1"/>
      <c r="L9" s="1"/>
      <c r="M9" s="1"/>
      <c r="N9" s="1"/>
    </row>
    <row r="10" spans="1:14" ht="43.5" x14ac:dyDescent="0.35">
      <c r="A10" s="1"/>
      <c r="B10" s="177" t="s">
        <v>43</v>
      </c>
      <c r="C10" s="178" t="s">
        <v>62</v>
      </c>
      <c r="D10" s="179" t="s">
        <v>63</v>
      </c>
      <c r="E10" s="179" t="s">
        <v>64</v>
      </c>
      <c r="F10" s="179" t="s">
        <v>19</v>
      </c>
      <c r="G10" s="1"/>
      <c r="H10" s="1"/>
      <c r="I10" s="1"/>
      <c r="J10" s="1"/>
      <c r="K10" s="1"/>
      <c r="L10" s="1"/>
      <c r="M10" s="1"/>
      <c r="N10" s="1"/>
    </row>
    <row r="11" spans="1:14" ht="29" x14ac:dyDescent="0.35">
      <c r="A11" s="1"/>
      <c r="B11" s="177" t="s">
        <v>163</v>
      </c>
      <c r="C11" s="178" t="s">
        <v>69</v>
      </c>
      <c r="D11" s="179" t="s">
        <v>67</v>
      </c>
      <c r="E11" s="179" t="s">
        <v>68</v>
      </c>
      <c r="F11" s="179" t="s">
        <v>89</v>
      </c>
      <c r="G11" s="1"/>
      <c r="H11" s="1"/>
      <c r="I11" s="1"/>
      <c r="J11" s="1"/>
      <c r="K11" s="1"/>
      <c r="L11" s="1"/>
      <c r="M11" s="1"/>
      <c r="N11" s="1"/>
    </row>
    <row r="12" spans="1:14" ht="101.5" x14ac:dyDescent="0.35">
      <c r="A12" s="1"/>
      <c r="B12" s="177" t="s">
        <v>164</v>
      </c>
      <c r="C12" s="178" t="s">
        <v>20</v>
      </c>
      <c r="D12" s="179" t="s">
        <v>21</v>
      </c>
      <c r="E12" s="179" t="s">
        <v>7</v>
      </c>
      <c r="F12" s="180" t="s">
        <v>70</v>
      </c>
      <c r="G12" s="1"/>
      <c r="H12" s="1"/>
      <c r="I12" s="1"/>
      <c r="J12" s="1"/>
      <c r="K12" s="1"/>
      <c r="L12" s="1"/>
      <c r="M12" s="1"/>
      <c r="N12" s="1"/>
    </row>
    <row r="13" spans="1:14" ht="58" x14ac:dyDescent="0.35">
      <c r="A13" s="1"/>
      <c r="B13" s="177" t="s">
        <v>165</v>
      </c>
      <c r="C13" s="178" t="s">
        <v>162</v>
      </c>
      <c r="D13" s="179" t="s">
        <v>65</v>
      </c>
      <c r="E13" s="179" t="s">
        <v>18</v>
      </c>
      <c r="F13" s="179" t="s">
        <v>66</v>
      </c>
      <c r="G13" s="1"/>
      <c r="H13" s="1"/>
      <c r="I13" s="1"/>
      <c r="J13" s="1"/>
      <c r="K13" s="1"/>
      <c r="L13" s="1"/>
      <c r="M13" s="1"/>
      <c r="N13" s="1"/>
    </row>
    <row r="14" spans="1:14" ht="29" x14ac:dyDescent="0.35">
      <c r="A14" s="1"/>
      <c r="B14" s="177" t="s">
        <v>166</v>
      </c>
      <c r="C14" s="178" t="s">
        <v>71</v>
      </c>
      <c r="D14" s="179" t="s">
        <v>23</v>
      </c>
      <c r="E14" s="179" t="s">
        <v>22</v>
      </c>
      <c r="F14" s="179" t="s">
        <v>24</v>
      </c>
      <c r="G14" s="1"/>
      <c r="H14" s="1"/>
      <c r="I14" s="1"/>
      <c r="J14" s="1"/>
      <c r="K14" s="1"/>
      <c r="L14" s="1"/>
      <c r="M14" s="1"/>
      <c r="N14" s="1"/>
    </row>
    <row r="15" spans="1:14" ht="15.5" x14ac:dyDescent="0.35">
      <c r="A15" s="1"/>
      <c r="B15" s="2"/>
      <c r="C15" s="9" t="s">
        <v>47</v>
      </c>
      <c r="D15" s="30"/>
      <c r="E15" s="30"/>
      <c r="F15" s="30"/>
      <c r="G15" s="1"/>
      <c r="H15" s="1"/>
      <c r="I15" s="1"/>
      <c r="J15" s="1"/>
      <c r="K15" s="1"/>
      <c r="L15" s="1"/>
      <c r="M15" s="1"/>
      <c r="N15" s="1"/>
    </row>
    <row r="16" spans="1:14" ht="23.5" customHeight="1" x14ac:dyDescent="0.35">
      <c r="A16" s="1"/>
      <c r="B16" s="208" t="s">
        <v>42</v>
      </c>
      <c r="C16" s="209" t="s">
        <v>15</v>
      </c>
      <c r="D16" s="210"/>
      <c r="E16" s="210"/>
      <c r="F16" s="211"/>
      <c r="G16" s="1"/>
      <c r="H16" s="1"/>
      <c r="I16" s="1"/>
      <c r="J16" s="1"/>
      <c r="K16" s="1"/>
      <c r="L16" s="1"/>
      <c r="M16" s="1"/>
      <c r="N16" s="1"/>
    </row>
    <row r="17" spans="2:6" ht="18.5" x14ac:dyDescent="0.35">
      <c r="B17" s="208"/>
      <c r="C17" s="110" t="s">
        <v>0</v>
      </c>
      <c r="D17" s="110" t="s">
        <v>2</v>
      </c>
      <c r="E17" s="110" t="s">
        <v>3</v>
      </c>
      <c r="F17" s="110" t="s">
        <v>1</v>
      </c>
    </row>
    <row r="18" spans="2:6" ht="87" x14ac:dyDescent="0.35">
      <c r="B18" s="177" t="s">
        <v>44</v>
      </c>
      <c r="C18" s="178" t="s">
        <v>4</v>
      </c>
      <c r="D18" s="179" t="s">
        <v>72</v>
      </c>
      <c r="E18" s="179" t="s">
        <v>8</v>
      </c>
      <c r="F18" s="179" t="s">
        <v>25</v>
      </c>
    </row>
    <row r="19" spans="2:6" ht="43.5" x14ac:dyDescent="0.35">
      <c r="B19" s="177" t="s">
        <v>81</v>
      </c>
      <c r="C19" s="178" t="s">
        <v>27</v>
      </c>
      <c r="D19" s="179" t="s">
        <v>73</v>
      </c>
      <c r="E19" s="179" t="s">
        <v>9</v>
      </c>
      <c r="F19" s="179" t="s">
        <v>26</v>
      </c>
    </row>
    <row r="20" spans="2:6" ht="72.5" x14ac:dyDescent="0.35">
      <c r="B20" s="177" t="s">
        <v>82</v>
      </c>
      <c r="C20" s="178" t="s">
        <v>10</v>
      </c>
      <c r="D20" s="179" t="s">
        <v>74</v>
      </c>
      <c r="E20" s="179" t="s">
        <v>11</v>
      </c>
      <c r="F20" s="179" t="s">
        <v>28</v>
      </c>
    </row>
    <row r="21" spans="2:6" ht="87" x14ac:dyDescent="0.35">
      <c r="B21" s="177" t="s">
        <v>83</v>
      </c>
      <c r="C21" s="178" t="s">
        <v>29</v>
      </c>
      <c r="D21" s="179" t="s">
        <v>75</v>
      </c>
      <c r="E21" s="179" t="s">
        <v>30</v>
      </c>
      <c r="F21" s="179" t="s">
        <v>31</v>
      </c>
    </row>
    <row r="22" spans="2:6" ht="15.5" x14ac:dyDescent="0.35">
      <c r="B22" s="2"/>
      <c r="C22" s="9"/>
      <c r="D22" s="30"/>
      <c r="E22" s="30"/>
      <c r="F22" s="30"/>
    </row>
    <row r="23" spans="2:6" ht="23.5" customHeight="1" x14ac:dyDescent="0.35">
      <c r="B23" s="188" t="s">
        <v>42</v>
      </c>
      <c r="C23" s="189" t="s">
        <v>16</v>
      </c>
      <c r="D23" s="190"/>
      <c r="E23" s="190"/>
      <c r="F23" s="191"/>
    </row>
    <row r="24" spans="2:6" ht="18.5" x14ac:dyDescent="0.35">
      <c r="B24" s="188"/>
      <c r="C24" s="111" t="s">
        <v>0</v>
      </c>
      <c r="D24" s="111" t="s">
        <v>2</v>
      </c>
      <c r="E24" s="111" t="s">
        <v>3</v>
      </c>
      <c r="F24" s="111" t="s">
        <v>1</v>
      </c>
    </row>
    <row r="25" spans="2:6" ht="58" x14ac:dyDescent="0.35">
      <c r="B25" s="177" t="s">
        <v>45</v>
      </c>
      <c r="C25" s="178" t="s">
        <v>5</v>
      </c>
      <c r="D25" s="181" t="s">
        <v>156</v>
      </c>
      <c r="E25" s="181" t="s">
        <v>77</v>
      </c>
      <c r="F25" s="181" t="s">
        <v>12</v>
      </c>
    </row>
    <row r="26" spans="2:6" ht="72.5" x14ac:dyDescent="0.35">
      <c r="B26" s="177" t="s">
        <v>84</v>
      </c>
      <c r="C26" s="178" t="s">
        <v>33</v>
      </c>
      <c r="D26" s="181" t="s">
        <v>36</v>
      </c>
      <c r="E26" s="181" t="s">
        <v>34</v>
      </c>
      <c r="F26" s="181" t="s">
        <v>35</v>
      </c>
    </row>
    <row r="27" spans="2:6" ht="58" x14ac:dyDescent="0.35">
      <c r="B27" s="177" t="s">
        <v>85</v>
      </c>
      <c r="C27" s="178" t="s">
        <v>32</v>
      </c>
      <c r="D27" s="181" t="s">
        <v>37</v>
      </c>
      <c r="E27" s="181" t="s">
        <v>38</v>
      </c>
      <c r="F27" s="181" t="s">
        <v>39</v>
      </c>
    </row>
    <row r="28" spans="2:6" ht="58" x14ac:dyDescent="0.35">
      <c r="B28" s="177" t="s">
        <v>86</v>
      </c>
      <c r="C28" s="178" t="s">
        <v>6</v>
      </c>
      <c r="D28" s="181" t="s">
        <v>40</v>
      </c>
      <c r="E28" s="181" t="s">
        <v>76</v>
      </c>
      <c r="F28" s="181" t="s">
        <v>41</v>
      </c>
    </row>
    <row r="29" spans="2:6" ht="15.5" x14ac:dyDescent="0.35">
      <c r="B29" s="2"/>
      <c r="C29" s="9"/>
      <c r="D29" s="30"/>
      <c r="E29" s="30"/>
      <c r="F29" s="30"/>
    </row>
    <row r="30" spans="2:6" ht="23.5" customHeight="1" x14ac:dyDescent="0.35">
      <c r="B30" s="192" t="s">
        <v>42</v>
      </c>
      <c r="C30" s="193" t="s">
        <v>17</v>
      </c>
      <c r="D30" s="193"/>
      <c r="E30" s="193"/>
      <c r="F30" s="193"/>
    </row>
    <row r="31" spans="2:6" ht="18.5" x14ac:dyDescent="0.35">
      <c r="B31" s="192"/>
      <c r="C31" s="112" t="s">
        <v>0</v>
      </c>
      <c r="D31" s="98" t="s">
        <v>2</v>
      </c>
      <c r="E31" s="98" t="s">
        <v>3</v>
      </c>
      <c r="F31" s="98" t="s">
        <v>1</v>
      </c>
    </row>
    <row r="32" spans="2:6" ht="58" x14ac:dyDescent="0.35">
      <c r="B32" s="177" t="s">
        <v>46</v>
      </c>
      <c r="C32" s="182" t="s">
        <v>157</v>
      </c>
      <c r="D32" s="179" t="s">
        <v>78</v>
      </c>
      <c r="E32" s="179" t="s">
        <v>158</v>
      </c>
      <c r="F32" s="179" t="s">
        <v>159</v>
      </c>
    </row>
    <row r="33" spans="1:6" ht="87" x14ac:dyDescent="0.35">
      <c r="B33" s="177" t="s">
        <v>87</v>
      </c>
      <c r="C33" s="182" t="s">
        <v>167</v>
      </c>
      <c r="D33" s="179" t="s">
        <v>189</v>
      </c>
      <c r="E33" s="179" t="s">
        <v>168</v>
      </c>
      <c r="F33" s="179" t="s">
        <v>169</v>
      </c>
    </row>
    <row r="34" spans="1:6" ht="43.5" x14ac:dyDescent="0.35">
      <c r="B34" s="177" t="s">
        <v>88</v>
      </c>
      <c r="C34" s="182" t="s">
        <v>13</v>
      </c>
      <c r="D34" s="179" t="s">
        <v>79</v>
      </c>
      <c r="E34" s="179" t="s">
        <v>80</v>
      </c>
      <c r="F34" s="179" t="s">
        <v>160</v>
      </c>
    </row>
    <row r="35" spans="1:6" ht="15.5" x14ac:dyDescent="0.35">
      <c r="B35" s="2"/>
      <c r="C35" s="8"/>
      <c r="D35" s="186"/>
      <c r="E35" s="186"/>
      <c r="F35" s="186"/>
    </row>
    <row r="36" spans="1:6" ht="15.5" x14ac:dyDescent="0.35">
      <c r="B36" s="2"/>
      <c r="C36" s="8"/>
      <c r="D36" s="187"/>
      <c r="E36" s="187"/>
      <c r="F36" s="187"/>
    </row>
    <row r="37" spans="1:6" ht="15.5" x14ac:dyDescent="0.35">
      <c r="B37" s="2"/>
      <c r="C37" s="8"/>
      <c r="D37" s="187"/>
      <c r="E37" s="187"/>
      <c r="F37" s="187"/>
    </row>
    <row r="38" spans="1:6" ht="16" thickBot="1" x14ac:dyDescent="0.4">
      <c r="B38" s="2"/>
      <c r="C38" s="8"/>
      <c r="D38" s="187"/>
      <c r="E38" s="187"/>
      <c r="F38" s="187"/>
    </row>
    <row r="39" spans="1:6" ht="14.5" customHeight="1" x14ac:dyDescent="0.35">
      <c r="B39" s="184" t="s">
        <v>170</v>
      </c>
      <c r="C39" s="185"/>
      <c r="D39" s="187"/>
      <c r="E39" s="187"/>
      <c r="F39" s="187"/>
    </row>
    <row r="40" spans="1:6" ht="15" customHeight="1" thickBot="1" x14ac:dyDescent="0.4">
      <c r="B40" s="194"/>
      <c r="C40" s="195"/>
      <c r="D40" s="187"/>
      <c r="E40" s="187"/>
      <c r="F40" s="187"/>
    </row>
    <row r="41" spans="1:6" ht="18.5" x14ac:dyDescent="0.35">
      <c r="A41" s="1"/>
      <c r="B41" s="114" t="s">
        <v>145</v>
      </c>
      <c r="C41" s="115" t="s">
        <v>90</v>
      </c>
      <c r="D41" s="187"/>
      <c r="E41" s="187"/>
      <c r="F41" s="187"/>
    </row>
    <row r="42" spans="1:6" ht="18.5" x14ac:dyDescent="0.35">
      <c r="A42" s="1"/>
      <c r="B42" s="116" t="s">
        <v>147</v>
      </c>
      <c r="C42" s="117" t="s">
        <v>92</v>
      </c>
      <c r="D42" s="187"/>
      <c r="E42" s="187"/>
      <c r="F42" s="187"/>
    </row>
    <row r="43" spans="1:6" ht="18.5" x14ac:dyDescent="0.35">
      <c r="A43" s="1"/>
      <c r="B43" s="118" t="s">
        <v>148</v>
      </c>
      <c r="C43" s="119" t="s">
        <v>93</v>
      </c>
      <c r="D43" s="187"/>
      <c r="E43" s="187"/>
      <c r="F43" s="187"/>
    </row>
    <row r="44" spans="1:6" ht="18.5" x14ac:dyDescent="0.35">
      <c r="A44" s="1"/>
      <c r="B44" s="120" t="s">
        <v>146</v>
      </c>
      <c r="C44" s="121" t="s">
        <v>91</v>
      </c>
      <c r="D44" s="187"/>
      <c r="E44" s="187"/>
      <c r="F44" s="187"/>
    </row>
    <row r="45" spans="1:6" x14ac:dyDescent="0.35">
      <c r="A45" s="1"/>
      <c r="B45" s="31"/>
      <c r="C45" s="31"/>
      <c r="D45" s="187"/>
      <c r="E45" s="187"/>
      <c r="F45" s="187"/>
    </row>
    <row r="46" spans="1:6" ht="16" thickBot="1" x14ac:dyDescent="0.4">
      <c r="A46" s="1"/>
      <c r="B46" s="10"/>
      <c r="C46" s="11"/>
      <c r="D46" s="187"/>
      <c r="E46" s="187"/>
      <c r="F46" s="187"/>
    </row>
    <row r="47" spans="1:6" ht="29" thickBot="1" x14ac:dyDescent="0.4">
      <c r="A47" s="1"/>
      <c r="B47" s="184" t="s">
        <v>171</v>
      </c>
      <c r="C47" s="185"/>
      <c r="D47" s="1"/>
      <c r="E47" s="1"/>
      <c r="F47" s="1"/>
    </row>
    <row r="48" spans="1:6" ht="16" customHeight="1" x14ac:dyDescent="0.35">
      <c r="A48" s="1"/>
      <c r="B48" s="122" t="str">
        <f t="shared" ref="B48:C52" si="0">B10</f>
        <v>g1.1</v>
      </c>
      <c r="C48" s="123" t="str">
        <f t="shared" si="0"/>
        <v>Coût d'investissement propriétaire</v>
      </c>
      <c r="D48" s="1"/>
      <c r="E48" s="1"/>
      <c r="F48" s="1"/>
    </row>
    <row r="49" spans="1:6" ht="16" customHeight="1" x14ac:dyDescent="0.35">
      <c r="A49" s="1"/>
      <c r="B49" s="124" t="str">
        <f t="shared" si="0"/>
        <v>g1.2</v>
      </c>
      <c r="C49" s="125" t="str">
        <f t="shared" si="0"/>
        <v>Coût de réinvestissement sur une durée de 30 ans</v>
      </c>
      <c r="D49" s="1"/>
      <c r="E49" s="1"/>
      <c r="F49" s="1"/>
    </row>
    <row r="50" spans="1:6" ht="37" x14ac:dyDescent="0.35">
      <c r="A50" s="1"/>
      <c r="B50" s="124" t="str">
        <f t="shared" si="0"/>
        <v>g1.3</v>
      </c>
      <c r="C50" s="125" t="str">
        <f t="shared" si="0"/>
        <v>Possibilité d'aides financières et subventions particulières</v>
      </c>
      <c r="D50" s="1"/>
      <c r="E50" s="1"/>
      <c r="F50" s="1"/>
    </row>
    <row r="51" spans="1:6" ht="16" customHeight="1" x14ac:dyDescent="0.35">
      <c r="A51" s="1"/>
      <c r="B51" s="124" t="str">
        <f t="shared" si="0"/>
        <v>g1.4</v>
      </c>
      <c r="C51" s="125" t="str">
        <f t="shared" si="0"/>
        <v>Coût de fonctionnement</v>
      </c>
      <c r="D51" s="1"/>
      <c r="E51" s="1"/>
      <c r="F51" s="1"/>
    </row>
    <row r="52" spans="1:6" ht="16" customHeight="1" x14ac:dyDescent="0.35">
      <c r="A52" s="1"/>
      <c r="B52" s="124" t="str">
        <f t="shared" si="0"/>
        <v>g1.5</v>
      </c>
      <c r="C52" s="125" t="str">
        <f t="shared" si="0"/>
        <v>Rentabilité énergétique de la solution</v>
      </c>
      <c r="D52" s="1"/>
      <c r="E52" s="1"/>
      <c r="F52" s="1"/>
    </row>
    <row r="53" spans="1:6" ht="16" customHeight="1" x14ac:dyDescent="0.35">
      <c r="A53" s="1"/>
      <c r="B53" s="126" t="str">
        <f t="shared" ref="B53:C53" si="1">B18</f>
        <v>g2.1</v>
      </c>
      <c r="C53" s="127" t="str">
        <f t="shared" si="1"/>
        <v>Facilité d’intégration au bâti existant</v>
      </c>
      <c r="D53" s="1"/>
      <c r="E53" s="1"/>
      <c r="F53" s="1"/>
    </row>
    <row r="54" spans="1:6" ht="16" customHeight="1" x14ac:dyDescent="0.35">
      <c r="A54" s="1"/>
      <c r="B54" s="126" t="str">
        <f t="shared" ref="B54:C54" si="2">B19</f>
        <v>g2.2</v>
      </c>
      <c r="C54" s="127" t="str">
        <f t="shared" si="2"/>
        <v>Mise en œuvre en site occupé</v>
      </c>
      <c r="D54" s="1"/>
      <c r="E54" s="1"/>
      <c r="F54" s="1"/>
    </row>
    <row r="55" spans="1:6" ht="16" customHeight="1" x14ac:dyDescent="0.35">
      <c r="A55" s="1"/>
      <c r="B55" s="126" t="str">
        <f t="shared" ref="B55:C55" si="3">B20</f>
        <v>g2.3</v>
      </c>
      <c r="C55" s="127" t="str">
        <f t="shared" si="3"/>
        <v>Facilité d'entretien / Maintenance</v>
      </c>
      <c r="D55" s="1"/>
      <c r="E55" s="1"/>
      <c r="F55" s="1"/>
    </row>
    <row r="56" spans="1:6" ht="16" customHeight="1" x14ac:dyDescent="0.35">
      <c r="A56" s="1"/>
      <c r="B56" s="126" t="str">
        <f t="shared" ref="B56:C56" si="4">B21</f>
        <v>g2.4</v>
      </c>
      <c r="C56" s="127" t="str">
        <f t="shared" si="4"/>
        <v>Facilité de Comptage / Pilotage / Gestion de l'énergie</v>
      </c>
      <c r="D56" s="1"/>
      <c r="E56" s="1"/>
      <c r="F56" s="1"/>
    </row>
    <row r="57" spans="1:6" ht="16" customHeight="1" x14ac:dyDescent="0.35">
      <c r="A57" s="1"/>
      <c r="B57" s="128" t="str">
        <f t="shared" ref="B57:C57" si="5">B25</f>
        <v>g3.1</v>
      </c>
      <c r="C57" s="129" t="str">
        <f t="shared" si="5"/>
        <v>Impact sur le coût pour le locataire</v>
      </c>
      <c r="D57" s="1"/>
      <c r="E57" s="1"/>
      <c r="F57" s="1"/>
    </row>
    <row r="58" spans="1:6" ht="16" customHeight="1" x14ac:dyDescent="0.35">
      <c r="A58" s="1"/>
      <c r="B58" s="128" t="str">
        <f t="shared" ref="B58:C58" si="6">B26</f>
        <v>g3.2</v>
      </c>
      <c r="C58" s="129" t="str">
        <f t="shared" si="6"/>
        <v>Niveau de confort thermique</v>
      </c>
      <c r="D58" s="1"/>
      <c r="E58" s="1"/>
      <c r="F58" s="1"/>
    </row>
    <row r="59" spans="1:6" ht="16" customHeight="1" x14ac:dyDescent="0.35">
      <c r="A59" s="1"/>
      <c r="B59" s="128" t="str">
        <f t="shared" ref="B59:C59" si="7">B27</f>
        <v>g3.3</v>
      </c>
      <c r="C59" s="129" t="str">
        <f t="shared" si="7"/>
        <v>Niveau de confort acoustique</v>
      </c>
      <c r="D59" s="1"/>
      <c r="E59" s="1"/>
      <c r="F59" s="1"/>
    </row>
    <row r="60" spans="1:6" ht="16" customHeight="1" x14ac:dyDescent="0.35">
      <c r="A60" s="1"/>
      <c r="B60" s="128" t="str">
        <f t="shared" ref="B60:C60" si="8">B28</f>
        <v>g3.4</v>
      </c>
      <c r="C60" s="129" t="str">
        <f t="shared" si="8"/>
        <v>Esthétique et encombrement</v>
      </c>
      <c r="D60" s="1"/>
      <c r="E60" s="1"/>
      <c r="F60" s="1"/>
    </row>
    <row r="61" spans="1:6" ht="16" customHeight="1" x14ac:dyDescent="0.35">
      <c r="A61" s="1"/>
      <c r="B61" s="130" t="str">
        <f t="shared" ref="B61:C63" si="9">B32</f>
        <v>g4.1</v>
      </c>
      <c r="C61" s="131" t="str">
        <f t="shared" si="9"/>
        <v>Efficacité énergétique</v>
      </c>
      <c r="D61" s="1"/>
      <c r="E61" s="1"/>
      <c r="F61" s="1"/>
    </row>
    <row r="62" spans="1:6" ht="16" customHeight="1" x14ac:dyDescent="0.35">
      <c r="A62" s="1"/>
      <c r="B62" s="130" t="str">
        <f t="shared" si="9"/>
        <v>g4.2</v>
      </c>
      <c r="C62" s="131" t="str">
        <f t="shared" si="9"/>
        <v>Emissions de CO2 évitées</v>
      </c>
      <c r="D62" s="1"/>
      <c r="E62" s="1"/>
      <c r="F62" s="1"/>
    </row>
    <row r="63" spans="1:6" ht="19" thickBot="1" x14ac:dyDescent="0.4">
      <c r="A63" s="1"/>
      <c r="B63" s="132" t="str">
        <f t="shared" si="9"/>
        <v>g4.3</v>
      </c>
      <c r="C63" s="133" t="str">
        <f t="shared" si="9"/>
        <v>Lieu de production</v>
      </c>
    </row>
    <row r="64" spans="1:6" x14ac:dyDescent="0.35">
      <c r="A64" s="1"/>
      <c r="B64" s="1"/>
    </row>
    <row r="65" spans="1:2" x14ac:dyDescent="0.35">
      <c r="A65" s="1"/>
      <c r="B65" s="1"/>
    </row>
    <row r="66" spans="1:2" x14ac:dyDescent="0.35">
      <c r="A66" s="1"/>
      <c r="B66" s="1"/>
    </row>
    <row r="67" spans="1:2" x14ac:dyDescent="0.35">
      <c r="A67" s="1"/>
      <c r="B67" s="1"/>
    </row>
    <row r="68" spans="1:2" x14ac:dyDescent="0.35">
      <c r="A68" s="1"/>
      <c r="B68" s="1"/>
    </row>
  </sheetData>
  <mergeCells count="13">
    <mergeCell ref="B2:F3"/>
    <mergeCell ref="B5:F6"/>
    <mergeCell ref="B8:B9"/>
    <mergeCell ref="C8:F8"/>
    <mergeCell ref="B16:B17"/>
    <mergeCell ref="C16:F16"/>
    <mergeCell ref="B47:C47"/>
    <mergeCell ref="D35:F46"/>
    <mergeCell ref="B23:B24"/>
    <mergeCell ref="C23:F23"/>
    <mergeCell ref="B30:B31"/>
    <mergeCell ref="C30:F30"/>
    <mergeCell ref="B39:C40"/>
  </mergeCells>
  <phoneticPr fontId="26" type="noConversion"/>
  <hyperlinks>
    <hyperlink ref="F12" r:id="rId1" location="contexte" display="https://www.photovoltaique.info/fr/tarifs-dachat-et-autoconsommation/autres-aides-financieres/appels-a-projets-et-aides-regionales/#contexte" xr:uid="{E525DDC6-D65A-4D3E-BE9C-716A9AE70A4F}"/>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F10A-8853-4F3C-9680-7DCEC2D07470}">
  <sheetPr codeName="Feuil2">
    <tabColor theme="7" tint="0.39997558519241921"/>
  </sheetPr>
  <dimension ref="B1:O136"/>
  <sheetViews>
    <sheetView tabSelected="1" zoomScale="85" zoomScaleNormal="85" workbookViewId="0">
      <selection activeCell="D23" sqref="D23"/>
    </sheetView>
  </sheetViews>
  <sheetFormatPr baseColWidth="10" defaultRowHeight="14.5" x14ac:dyDescent="0.35"/>
  <cols>
    <col min="1" max="1" width="10.90625" style="1"/>
    <col min="2" max="2" width="16.6328125" style="1" bestFit="1" customWidth="1"/>
    <col min="3" max="3" width="3.08984375" style="1" bestFit="1" customWidth="1"/>
    <col min="4" max="6" width="75.6328125" style="1" customWidth="1"/>
    <col min="7" max="9" width="10.90625" style="1"/>
    <col min="10" max="10" width="10.7265625" style="1" customWidth="1"/>
    <col min="11" max="16384" width="10.90625" style="1"/>
  </cols>
  <sheetData>
    <row r="1" spans="2:8" ht="15" thickBot="1" x14ac:dyDescent="0.4"/>
    <row r="2" spans="2:8" ht="14.5" customHeight="1" x14ac:dyDescent="0.35">
      <c r="B2" s="239" t="s">
        <v>49</v>
      </c>
      <c r="C2" s="240"/>
      <c r="D2" s="240"/>
      <c r="E2" s="240"/>
      <c r="F2" s="240"/>
      <c r="G2" s="241"/>
    </row>
    <row r="3" spans="2:8" ht="14.5" customHeight="1" thickBot="1" x14ac:dyDescent="0.4">
      <c r="B3" s="242"/>
      <c r="C3" s="243"/>
      <c r="D3" s="243"/>
      <c r="E3" s="243"/>
      <c r="F3" s="243"/>
      <c r="G3" s="244"/>
    </row>
    <row r="4" spans="2:8" x14ac:dyDescent="0.35">
      <c r="B4" s="12"/>
      <c r="C4" s="13"/>
      <c r="D4" s="13"/>
      <c r="E4" s="13"/>
      <c r="F4" s="13"/>
      <c r="G4" s="14"/>
    </row>
    <row r="5" spans="2:8" ht="19" thickBot="1" x14ac:dyDescent="0.4">
      <c r="B5" s="12"/>
      <c r="C5" s="13"/>
      <c r="D5" s="15" t="s">
        <v>51</v>
      </c>
      <c r="E5" s="13"/>
      <c r="F5" s="13"/>
      <c r="G5" s="14"/>
    </row>
    <row r="6" spans="2:8" ht="19.5" customHeight="1" x14ac:dyDescent="0.35">
      <c r="B6" s="12"/>
      <c r="C6" s="13"/>
      <c r="D6" s="236" t="s">
        <v>161</v>
      </c>
      <c r="E6" s="237"/>
      <c r="F6" s="238"/>
      <c r="G6" s="14"/>
    </row>
    <row r="7" spans="2:8" x14ac:dyDescent="0.35">
      <c r="B7" s="12"/>
      <c r="C7" s="13"/>
      <c r="D7" s="233"/>
      <c r="E7" s="234"/>
      <c r="F7" s="235"/>
      <c r="G7" s="14"/>
    </row>
    <row r="8" spans="2:8" x14ac:dyDescent="0.35">
      <c r="B8" s="12"/>
      <c r="C8" s="13"/>
      <c r="D8" s="233"/>
      <c r="E8" s="234"/>
      <c r="F8" s="235"/>
      <c r="G8" s="14"/>
    </row>
    <row r="9" spans="2:8" x14ac:dyDescent="0.35">
      <c r="B9" s="12"/>
      <c r="C9" s="13"/>
      <c r="D9" s="233"/>
      <c r="E9" s="234"/>
      <c r="F9" s="235"/>
      <c r="G9" s="14"/>
    </row>
    <row r="10" spans="2:8" x14ac:dyDescent="0.35">
      <c r="B10" s="12"/>
      <c r="C10" s="13"/>
      <c r="D10" s="233"/>
      <c r="E10" s="234"/>
      <c r="F10" s="235"/>
      <c r="G10" s="14"/>
    </row>
    <row r="11" spans="2:8" x14ac:dyDescent="0.35">
      <c r="B11" s="12"/>
      <c r="C11" s="13"/>
      <c r="D11" s="233"/>
      <c r="E11" s="234"/>
      <c r="F11" s="235"/>
      <c r="G11" s="14"/>
    </row>
    <row r="12" spans="2:8" ht="14.5" customHeight="1" x14ac:dyDescent="0.35">
      <c r="B12" s="12"/>
      <c r="C12" s="13"/>
      <c r="D12" s="233"/>
      <c r="E12" s="234"/>
      <c r="F12" s="235"/>
      <c r="G12" s="14"/>
      <c r="H12" s="141"/>
    </row>
    <row r="13" spans="2:8" x14ac:dyDescent="0.35">
      <c r="B13" s="12"/>
      <c r="C13" s="13"/>
      <c r="D13" s="233"/>
      <c r="E13" s="234"/>
      <c r="F13" s="235"/>
      <c r="G13" s="14"/>
    </row>
    <row r="14" spans="2:8" x14ac:dyDescent="0.35">
      <c r="B14" s="12"/>
      <c r="C14" s="13"/>
      <c r="D14" s="233" t="s">
        <v>94</v>
      </c>
      <c r="E14" s="234"/>
      <c r="F14" s="235"/>
      <c r="G14" s="14"/>
    </row>
    <row r="15" spans="2:8" ht="15" thickBot="1" x14ac:dyDescent="0.4">
      <c r="B15" s="12"/>
      <c r="C15" s="13"/>
      <c r="D15" s="230" t="s">
        <v>50</v>
      </c>
      <c r="E15" s="231"/>
      <c r="F15" s="232"/>
      <c r="G15" s="14"/>
    </row>
    <row r="16" spans="2:8" x14ac:dyDescent="0.35">
      <c r="B16" s="12"/>
      <c r="C16" s="13"/>
      <c r="D16" s="16"/>
      <c r="E16" s="16"/>
      <c r="F16" s="16"/>
      <c r="G16" s="14"/>
    </row>
    <row r="17" spans="2:15" ht="15" thickBot="1" x14ac:dyDescent="0.4">
      <c r="B17" s="12"/>
      <c r="C17" s="13"/>
      <c r="D17" s="13"/>
      <c r="E17" s="13"/>
      <c r="F17" s="13"/>
      <c r="G17" s="14"/>
    </row>
    <row r="18" spans="2:15" ht="24" thickBot="1" x14ac:dyDescent="0.4">
      <c r="B18" s="245" t="s">
        <v>54</v>
      </c>
      <c r="C18" s="246"/>
      <c r="D18" s="246"/>
      <c r="E18" s="246"/>
      <c r="F18" s="246"/>
      <c r="G18" s="247"/>
    </row>
    <row r="19" spans="2:15" x14ac:dyDescent="0.35">
      <c r="B19" s="144"/>
      <c r="C19" s="17"/>
      <c r="D19" s="17"/>
      <c r="E19" s="17"/>
      <c r="F19" s="17"/>
      <c r="G19" s="14"/>
    </row>
    <row r="20" spans="2:15" ht="18.75" customHeight="1" x14ac:dyDescent="0.35">
      <c r="B20" s="144"/>
      <c r="C20" s="17"/>
      <c r="D20" s="100" t="s">
        <v>172</v>
      </c>
      <c r="E20" s="100" t="s">
        <v>174</v>
      </c>
      <c r="F20" s="100" t="s">
        <v>175</v>
      </c>
      <c r="G20" s="14"/>
    </row>
    <row r="21" spans="2:15" ht="17.25" customHeight="1" x14ac:dyDescent="0.35">
      <c r="B21" s="144"/>
      <c r="C21" s="17"/>
      <c r="D21" s="100" t="s">
        <v>173</v>
      </c>
      <c r="E21" s="100" t="s">
        <v>176</v>
      </c>
      <c r="F21"/>
      <c r="G21" s="14"/>
    </row>
    <row r="22" spans="2:15" x14ac:dyDescent="0.35">
      <c r="B22" s="214" t="s">
        <v>95</v>
      </c>
      <c r="C22" s="215"/>
      <c r="D22" s="6"/>
      <c r="E22" s="6"/>
      <c r="F22" s="6"/>
      <c r="G22" s="14"/>
    </row>
    <row r="23" spans="2:15" x14ac:dyDescent="0.35">
      <c r="B23" s="145" t="s">
        <v>96</v>
      </c>
      <c r="C23" s="19">
        <v>1</v>
      </c>
      <c r="D23" s="148" t="s">
        <v>62</v>
      </c>
      <c r="E23" s="148" t="s">
        <v>162</v>
      </c>
      <c r="F23" s="148"/>
      <c r="G23" s="20"/>
    </row>
    <row r="24" spans="2:15" x14ac:dyDescent="0.35">
      <c r="B24" s="146"/>
      <c r="C24" s="19">
        <v>2</v>
      </c>
      <c r="D24" s="149" t="s">
        <v>69</v>
      </c>
      <c r="E24" s="149"/>
      <c r="F24" s="149"/>
      <c r="G24" s="20"/>
    </row>
    <row r="25" spans="2:15" x14ac:dyDescent="0.35">
      <c r="B25" s="146"/>
      <c r="C25" s="19">
        <v>3</v>
      </c>
      <c r="D25" s="149"/>
      <c r="E25" s="149"/>
      <c r="F25" s="149"/>
      <c r="G25" s="20"/>
      <c r="O25" s="142"/>
    </row>
    <row r="26" spans="2:15" x14ac:dyDescent="0.35">
      <c r="B26" s="146"/>
      <c r="C26" s="19">
        <v>4</v>
      </c>
      <c r="D26" s="149" t="s">
        <v>71</v>
      </c>
      <c r="E26" s="149"/>
      <c r="F26" s="149"/>
      <c r="G26" s="20"/>
    </row>
    <row r="27" spans="2:15" x14ac:dyDescent="0.35">
      <c r="B27" s="146"/>
      <c r="C27" s="19">
        <v>5</v>
      </c>
      <c r="D27" s="149"/>
      <c r="E27" s="149"/>
      <c r="F27" s="149"/>
      <c r="G27" s="20"/>
    </row>
    <row r="28" spans="2:15" x14ac:dyDescent="0.35">
      <c r="B28" s="145"/>
      <c r="C28" s="19">
        <v>6</v>
      </c>
      <c r="D28" s="149" t="s">
        <v>20</v>
      </c>
      <c r="E28" s="149"/>
      <c r="F28" s="149"/>
      <c r="G28" s="20"/>
    </row>
    <row r="29" spans="2:15" x14ac:dyDescent="0.35">
      <c r="B29" s="146"/>
      <c r="C29" s="19">
        <v>7</v>
      </c>
      <c r="D29" s="149"/>
      <c r="E29" s="149"/>
      <c r="F29" s="149"/>
      <c r="G29" s="20"/>
    </row>
    <row r="30" spans="2:15" x14ac:dyDescent="0.35">
      <c r="B30" s="146"/>
      <c r="C30" s="19">
        <v>8</v>
      </c>
      <c r="D30" s="149"/>
      <c r="E30" s="149"/>
      <c r="F30" s="149"/>
      <c r="G30" s="20"/>
    </row>
    <row r="31" spans="2:15" x14ac:dyDescent="0.35">
      <c r="B31" s="146"/>
      <c r="C31" s="19">
        <v>9</v>
      </c>
      <c r="D31" s="149"/>
      <c r="E31" s="149"/>
      <c r="F31" s="149"/>
      <c r="G31" s="20"/>
    </row>
    <row r="32" spans="2:15" x14ac:dyDescent="0.35">
      <c r="B32" s="146"/>
      <c r="C32" s="19">
        <v>10</v>
      </c>
      <c r="D32" s="149"/>
      <c r="E32" s="149"/>
      <c r="F32" s="149"/>
      <c r="G32" s="20"/>
    </row>
    <row r="33" spans="2:7" x14ac:dyDescent="0.35">
      <c r="B33" s="146"/>
      <c r="C33" s="19">
        <v>11</v>
      </c>
      <c r="D33" s="149"/>
      <c r="E33" s="149"/>
      <c r="F33" s="149"/>
      <c r="G33" s="20"/>
    </row>
    <row r="34" spans="2:7" x14ac:dyDescent="0.35">
      <c r="B34" s="146"/>
      <c r="C34" s="19">
        <v>12</v>
      </c>
      <c r="D34" s="149"/>
      <c r="E34" s="149"/>
      <c r="F34" s="149"/>
      <c r="G34" s="20"/>
    </row>
    <row r="35" spans="2:7" x14ac:dyDescent="0.35">
      <c r="B35" s="146"/>
      <c r="C35" s="19">
        <v>13</v>
      </c>
      <c r="D35" s="149"/>
      <c r="E35" s="149"/>
      <c r="F35" s="149"/>
      <c r="G35" s="20"/>
    </row>
    <row r="36" spans="2:7" x14ac:dyDescent="0.35">
      <c r="B36" s="146"/>
      <c r="C36" s="19">
        <v>14</v>
      </c>
      <c r="D36" s="149"/>
      <c r="E36" s="149"/>
      <c r="F36" s="149"/>
      <c r="G36" s="20"/>
    </row>
    <row r="37" spans="2:7" x14ac:dyDescent="0.35">
      <c r="B37" s="145" t="s">
        <v>97</v>
      </c>
      <c r="C37" s="19">
        <v>15</v>
      </c>
      <c r="D37" s="149"/>
      <c r="E37" s="149"/>
      <c r="F37" s="149"/>
      <c r="G37" s="20"/>
    </row>
    <row r="38" spans="2:7" ht="15" thickBot="1" x14ac:dyDescent="0.4">
      <c r="B38" s="147"/>
      <c r="C38" s="143"/>
      <c r="D38" s="17"/>
      <c r="E38" s="17"/>
      <c r="F38" s="17"/>
      <c r="G38" s="14"/>
    </row>
    <row r="39" spans="2:7" ht="15.5" thickTop="1" thickBot="1" x14ac:dyDescent="0.4">
      <c r="B39" s="228" t="s">
        <v>48</v>
      </c>
      <c r="C39" s="229"/>
      <c r="D39" s="107">
        <v>5</v>
      </c>
      <c r="E39" s="21"/>
      <c r="F39" s="13"/>
      <c r="G39" s="14"/>
    </row>
    <row r="40" spans="2:7" ht="15" thickTop="1" x14ac:dyDescent="0.35">
      <c r="B40" s="12"/>
      <c r="C40" s="13"/>
      <c r="D40" s="13"/>
      <c r="E40" s="13"/>
      <c r="F40" s="13"/>
      <c r="G40" s="14"/>
    </row>
    <row r="41" spans="2:7" ht="15" thickBot="1" x14ac:dyDescent="0.4">
      <c r="B41" s="12"/>
      <c r="C41" s="13"/>
      <c r="D41" s="13"/>
      <c r="E41" s="13"/>
      <c r="F41" s="13"/>
      <c r="G41" s="14"/>
    </row>
    <row r="42" spans="2:7" ht="24" thickBot="1" x14ac:dyDescent="0.4">
      <c r="B42" s="216" t="s">
        <v>55</v>
      </c>
      <c r="C42" s="217"/>
      <c r="D42" s="217"/>
      <c r="E42" s="217"/>
      <c r="F42" s="217"/>
      <c r="G42" s="218"/>
    </row>
    <row r="43" spans="2:7" x14ac:dyDescent="0.35">
      <c r="B43" s="144"/>
      <c r="C43" s="17"/>
      <c r="D43" s="22"/>
      <c r="E43" s="22"/>
      <c r="F43" s="22"/>
      <c r="G43" s="14"/>
    </row>
    <row r="44" spans="2:7" x14ac:dyDescent="0.35">
      <c r="B44" s="144"/>
      <c r="C44" s="17"/>
      <c r="D44" s="99" t="s">
        <v>177</v>
      </c>
      <c r="E44" s="99" t="s">
        <v>179</v>
      </c>
      <c r="F44" s="99" t="s">
        <v>180</v>
      </c>
      <c r="G44" s="14"/>
    </row>
    <row r="45" spans="2:7" x14ac:dyDescent="0.35">
      <c r="B45" s="144"/>
      <c r="C45" s="17"/>
      <c r="D45" s="99" t="s">
        <v>178</v>
      </c>
      <c r="E45" s="5"/>
      <c r="F45" s="27"/>
      <c r="G45" s="14"/>
    </row>
    <row r="46" spans="2:7" x14ac:dyDescent="0.35">
      <c r="B46" s="214" t="s">
        <v>95</v>
      </c>
      <c r="C46" s="215"/>
      <c r="D46" s="6"/>
      <c r="E46" s="6"/>
      <c r="F46" s="6"/>
      <c r="G46" s="14"/>
    </row>
    <row r="47" spans="2:7" x14ac:dyDescent="0.35">
      <c r="B47" s="145" t="s">
        <v>96</v>
      </c>
      <c r="C47" s="19">
        <v>1</v>
      </c>
      <c r="D47" s="108" t="s">
        <v>27</v>
      </c>
      <c r="E47" s="108"/>
      <c r="F47" s="108"/>
      <c r="G47" s="20"/>
    </row>
    <row r="48" spans="2:7" x14ac:dyDescent="0.35">
      <c r="B48" s="146"/>
      <c r="C48" s="19">
        <v>2</v>
      </c>
      <c r="D48" s="108" t="s">
        <v>4</v>
      </c>
      <c r="E48" s="108"/>
      <c r="F48" s="108"/>
      <c r="G48" s="20"/>
    </row>
    <row r="49" spans="2:7" x14ac:dyDescent="0.35">
      <c r="B49" s="146"/>
      <c r="C49" s="19">
        <v>3</v>
      </c>
      <c r="D49" s="108" t="s">
        <v>10</v>
      </c>
      <c r="E49" s="108" t="s">
        <v>29</v>
      </c>
      <c r="F49" s="108"/>
      <c r="G49" s="20"/>
    </row>
    <row r="50" spans="2:7" ht="14.5" customHeight="1" x14ac:dyDescent="0.35">
      <c r="B50" s="146"/>
      <c r="C50" s="19">
        <v>4</v>
      </c>
      <c r="D50" s="108"/>
      <c r="E50" s="108"/>
      <c r="F50" s="108"/>
      <c r="G50" s="20"/>
    </row>
    <row r="51" spans="2:7" x14ac:dyDescent="0.35">
      <c r="B51" s="146"/>
      <c r="C51" s="19">
        <v>5</v>
      </c>
      <c r="D51" s="108"/>
      <c r="E51" s="108"/>
      <c r="F51" s="108"/>
      <c r="G51" s="20"/>
    </row>
    <row r="52" spans="2:7" x14ac:dyDescent="0.35">
      <c r="B52" s="145"/>
      <c r="C52" s="19">
        <v>6</v>
      </c>
      <c r="D52" s="108"/>
      <c r="E52" s="108"/>
      <c r="F52" s="108"/>
      <c r="G52" s="20"/>
    </row>
    <row r="53" spans="2:7" x14ac:dyDescent="0.35">
      <c r="B53" s="146"/>
      <c r="C53" s="19">
        <v>7</v>
      </c>
      <c r="D53" s="108"/>
      <c r="E53" s="108"/>
      <c r="F53" s="108"/>
      <c r="G53" s="20"/>
    </row>
    <row r="54" spans="2:7" x14ac:dyDescent="0.35">
      <c r="B54" s="146"/>
      <c r="C54" s="19">
        <v>8</v>
      </c>
      <c r="D54" s="108"/>
      <c r="E54" s="108"/>
      <c r="F54" s="108"/>
      <c r="G54" s="20"/>
    </row>
    <row r="55" spans="2:7" x14ac:dyDescent="0.35">
      <c r="B55" s="146"/>
      <c r="C55" s="19">
        <v>9</v>
      </c>
      <c r="D55" s="108"/>
      <c r="E55" s="108"/>
      <c r="F55" s="108"/>
      <c r="G55" s="20"/>
    </row>
    <row r="56" spans="2:7" x14ac:dyDescent="0.35">
      <c r="B56" s="146"/>
      <c r="C56" s="19">
        <v>10</v>
      </c>
      <c r="D56" s="108"/>
      <c r="E56" s="108"/>
      <c r="F56" s="108"/>
      <c r="G56" s="20"/>
    </row>
    <row r="57" spans="2:7" x14ac:dyDescent="0.35">
      <c r="B57" s="146"/>
      <c r="C57" s="19">
        <v>11</v>
      </c>
      <c r="D57" s="108"/>
      <c r="E57" s="108"/>
      <c r="F57" s="108"/>
      <c r="G57" s="20"/>
    </row>
    <row r="58" spans="2:7" x14ac:dyDescent="0.35">
      <c r="B58" s="146"/>
      <c r="C58" s="19">
        <v>12</v>
      </c>
      <c r="D58" s="108"/>
      <c r="E58" s="108"/>
      <c r="F58" s="108"/>
      <c r="G58" s="20"/>
    </row>
    <row r="59" spans="2:7" x14ac:dyDescent="0.35">
      <c r="B59" s="146"/>
      <c r="C59" s="19">
        <v>13</v>
      </c>
      <c r="D59" s="108"/>
      <c r="E59" s="108"/>
      <c r="F59" s="108"/>
      <c r="G59" s="20"/>
    </row>
    <row r="60" spans="2:7" x14ac:dyDescent="0.35">
      <c r="B60" s="146"/>
      <c r="C60" s="19">
        <v>14</v>
      </c>
      <c r="D60" s="108"/>
      <c r="E60" s="108"/>
      <c r="F60" s="108"/>
      <c r="G60" s="20"/>
    </row>
    <row r="61" spans="2:7" x14ac:dyDescent="0.35">
      <c r="B61" s="145" t="s">
        <v>97</v>
      </c>
      <c r="C61" s="19">
        <v>15</v>
      </c>
      <c r="D61" s="108"/>
      <c r="E61" s="108"/>
      <c r="F61" s="108"/>
      <c r="G61" s="20"/>
    </row>
    <row r="62" spans="2:7" ht="15" thickBot="1" x14ac:dyDescent="0.4">
      <c r="B62" s="147"/>
      <c r="C62" s="143"/>
      <c r="D62" s="13"/>
      <c r="E62" s="13"/>
      <c r="F62" s="13"/>
      <c r="G62" s="14"/>
    </row>
    <row r="63" spans="2:7" ht="15.5" thickTop="1" thickBot="1" x14ac:dyDescent="0.4">
      <c r="B63" s="212" t="s">
        <v>48</v>
      </c>
      <c r="C63" s="213"/>
      <c r="D63" s="109">
        <v>4</v>
      </c>
      <c r="E63" s="21"/>
      <c r="F63" s="13"/>
      <c r="G63" s="14"/>
    </row>
    <row r="64" spans="2:7" ht="15" thickTop="1" x14ac:dyDescent="0.35">
      <c r="B64" s="12"/>
      <c r="C64" s="13"/>
      <c r="D64" s="13"/>
      <c r="E64" s="13"/>
      <c r="F64" s="13"/>
      <c r="G64" s="14"/>
    </row>
    <row r="65" spans="2:7" ht="15" thickBot="1" x14ac:dyDescent="0.4">
      <c r="B65" s="12"/>
      <c r="C65" s="13"/>
      <c r="D65" s="13"/>
      <c r="E65" s="13"/>
      <c r="F65" s="13"/>
      <c r="G65" s="14"/>
    </row>
    <row r="66" spans="2:7" ht="24" thickBot="1" x14ac:dyDescent="0.4">
      <c r="B66" s="219" t="s">
        <v>53</v>
      </c>
      <c r="C66" s="220"/>
      <c r="D66" s="220"/>
      <c r="E66" s="220"/>
      <c r="F66" s="220"/>
      <c r="G66" s="221"/>
    </row>
    <row r="67" spans="2:7" x14ac:dyDescent="0.35">
      <c r="B67" s="144"/>
      <c r="C67" s="17"/>
      <c r="D67" s="22"/>
      <c r="E67" s="22"/>
      <c r="F67" s="22"/>
      <c r="G67" s="14"/>
    </row>
    <row r="68" spans="2:7" x14ac:dyDescent="0.35">
      <c r="B68" s="144"/>
      <c r="C68" s="17"/>
      <c r="D68" s="101" t="s">
        <v>181</v>
      </c>
      <c r="E68" s="101" t="s">
        <v>183</v>
      </c>
      <c r="F68" s="101" t="s">
        <v>184</v>
      </c>
      <c r="G68" s="14"/>
    </row>
    <row r="69" spans="2:7" x14ac:dyDescent="0.35">
      <c r="B69" s="144"/>
      <c r="C69" s="17"/>
      <c r="D69" s="101" t="s">
        <v>182</v>
      </c>
      <c r="E69" s="134"/>
      <c r="F69" s="28"/>
      <c r="G69" s="14"/>
    </row>
    <row r="70" spans="2:7" x14ac:dyDescent="0.35">
      <c r="B70" s="214" t="s">
        <v>95</v>
      </c>
      <c r="C70" s="215"/>
      <c r="D70" s="18"/>
      <c r="E70" s="18"/>
      <c r="F70" s="18"/>
      <c r="G70" s="14"/>
    </row>
    <row r="71" spans="2:7" x14ac:dyDescent="0.35">
      <c r="B71" s="145" t="s">
        <v>96</v>
      </c>
      <c r="C71" s="19">
        <v>1</v>
      </c>
      <c r="D71" s="108" t="s">
        <v>5</v>
      </c>
      <c r="E71" s="108"/>
      <c r="F71" s="108"/>
      <c r="G71" s="20"/>
    </row>
    <row r="72" spans="2:7" x14ac:dyDescent="0.35">
      <c r="B72" s="146"/>
      <c r="C72" s="19">
        <v>2</v>
      </c>
      <c r="D72" s="108" t="s">
        <v>33</v>
      </c>
      <c r="E72" s="108"/>
      <c r="F72" s="108"/>
      <c r="G72" s="20"/>
    </row>
    <row r="73" spans="2:7" x14ac:dyDescent="0.35">
      <c r="B73" s="146"/>
      <c r="C73" s="19">
        <v>3</v>
      </c>
      <c r="D73" s="108"/>
      <c r="E73" s="108"/>
      <c r="F73" s="108"/>
      <c r="G73" s="20"/>
    </row>
    <row r="74" spans="2:7" x14ac:dyDescent="0.35">
      <c r="B74" s="146"/>
      <c r="C74" s="19">
        <v>4</v>
      </c>
      <c r="D74" s="108" t="s">
        <v>6</v>
      </c>
      <c r="E74" s="108" t="s">
        <v>32</v>
      </c>
      <c r="F74" s="108"/>
      <c r="G74" s="20"/>
    </row>
    <row r="75" spans="2:7" x14ac:dyDescent="0.35">
      <c r="B75" s="146"/>
      <c r="C75" s="19">
        <v>5</v>
      </c>
      <c r="D75" s="108"/>
      <c r="E75" s="108"/>
      <c r="F75" s="108"/>
      <c r="G75" s="20"/>
    </row>
    <row r="76" spans="2:7" x14ac:dyDescent="0.35">
      <c r="B76" s="145"/>
      <c r="C76" s="19">
        <v>6</v>
      </c>
      <c r="D76" s="108"/>
      <c r="E76" s="108"/>
      <c r="F76" s="108"/>
      <c r="G76" s="20"/>
    </row>
    <row r="77" spans="2:7" x14ac:dyDescent="0.35">
      <c r="B77" s="146"/>
      <c r="C77" s="19">
        <v>7</v>
      </c>
      <c r="D77" s="108"/>
      <c r="E77" s="108"/>
      <c r="F77" s="108"/>
      <c r="G77" s="20"/>
    </row>
    <row r="78" spans="2:7" x14ac:dyDescent="0.35">
      <c r="B78" s="146"/>
      <c r="C78" s="19">
        <v>8</v>
      </c>
      <c r="D78" s="108"/>
      <c r="E78" s="108"/>
      <c r="F78" s="108"/>
      <c r="G78" s="20"/>
    </row>
    <row r="79" spans="2:7" x14ac:dyDescent="0.35">
      <c r="B79" s="146"/>
      <c r="C79" s="19">
        <v>9</v>
      </c>
      <c r="D79" s="108"/>
      <c r="E79" s="108"/>
      <c r="F79" s="108"/>
      <c r="G79" s="20"/>
    </row>
    <row r="80" spans="2:7" x14ac:dyDescent="0.35">
      <c r="B80" s="146"/>
      <c r="C80" s="19">
        <v>10</v>
      </c>
      <c r="D80" s="108"/>
      <c r="E80" s="108"/>
      <c r="F80" s="108"/>
      <c r="G80" s="20"/>
    </row>
    <row r="81" spans="2:7" x14ac:dyDescent="0.35">
      <c r="B81" s="146"/>
      <c r="C81" s="19">
        <v>11</v>
      </c>
      <c r="D81" s="108"/>
      <c r="E81" s="108"/>
      <c r="F81" s="108"/>
      <c r="G81" s="20"/>
    </row>
    <row r="82" spans="2:7" x14ac:dyDescent="0.35">
      <c r="B82" s="146"/>
      <c r="C82" s="19">
        <v>12</v>
      </c>
      <c r="D82" s="108"/>
      <c r="E82" s="108"/>
      <c r="F82" s="108"/>
      <c r="G82" s="20"/>
    </row>
    <row r="83" spans="2:7" x14ac:dyDescent="0.35">
      <c r="B83" s="146"/>
      <c r="C83" s="19">
        <v>13</v>
      </c>
      <c r="D83" s="108"/>
      <c r="E83" s="108"/>
      <c r="F83" s="108"/>
      <c r="G83" s="20"/>
    </row>
    <row r="84" spans="2:7" x14ac:dyDescent="0.35">
      <c r="B84" s="146"/>
      <c r="C84" s="19">
        <v>14</v>
      </c>
      <c r="D84" s="108"/>
      <c r="E84" s="108"/>
      <c r="F84" s="108"/>
      <c r="G84" s="20"/>
    </row>
    <row r="85" spans="2:7" x14ac:dyDescent="0.35">
      <c r="B85" s="145" t="s">
        <v>97</v>
      </c>
      <c r="C85" s="19">
        <v>15</v>
      </c>
      <c r="D85" s="108"/>
      <c r="E85" s="108"/>
      <c r="F85" s="108"/>
      <c r="G85" s="20"/>
    </row>
    <row r="86" spans="2:7" ht="15" thickBot="1" x14ac:dyDescent="0.4">
      <c r="B86" s="147"/>
      <c r="C86" s="143"/>
      <c r="D86" s="13"/>
      <c r="E86" s="13"/>
      <c r="F86" s="13"/>
      <c r="G86" s="14"/>
    </row>
    <row r="87" spans="2:7" ht="15.5" thickTop="1" thickBot="1" x14ac:dyDescent="0.4">
      <c r="B87" s="212" t="s">
        <v>48</v>
      </c>
      <c r="C87" s="213"/>
      <c r="D87" s="109">
        <v>4</v>
      </c>
      <c r="E87" s="21"/>
      <c r="F87" s="13"/>
      <c r="G87" s="14"/>
    </row>
    <row r="88" spans="2:7" ht="15" thickTop="1" x14ac:dyDescent="0.35">
      <c r="B88" s="12"/>
      <c r="C88" s="13"/>
      <c r="D88" s="13"/>
      <c r="E88" s="13"/>
      <c r="F88" s="13"/>
      <c r="G88" s="14"/>
    </row>
    <row r="89" spans="2:7" ht="15" thickBot="1" x14ac:dyDescent="0.4">
      <c r="B89" s="12"/>
      <c r="C89" s="13"/>
      <c r="D89" s="13"/>
      <c r="E89" s="13"/>
      <c r="F89" s="13"/>
      <c r="G89" s="14"/>
    </row>
    <row r="90" spans="2:7" ht="24" thickBot="1" x14ac:dyDescent="0.4">
      <c r="B90" s="222" t="s">
        <v>52</v>
      </c>
      <c r="C90" s="223"/>
      <c r="D90" s="223"/>
      <c r="E90" s="223"/>
      <c r="F90" s="223"/>
      <c r="G90" s="224"/>
    </row>
    <row r="91" spans="2:7" x14ac:dyDescent="0.35">
      <c r="B91" s="144"/>
      <c r="C91" s="17"/>
      <c r="D91" s="22"/>
      <c r="E91" s="22"/>
      <c r="F91" s="17"/>
      <c r="G91" s="14"/>
    </row>
    <row r="92" spans="2:7" x14ac:dyDescent="0.35">
      <c r="B92" s="144"/>
      <c r="C92" s="17"/>
      <c r="D92" s="102" t="s">
        <v>186</v>
      </c>
      <c r="E92" s="102" t="s">
        <v>187</v>
      </c>
      <c r="F92" s="102" t="s">
        <v>185</v>
      </c>
      <c r="G92" s="14"/>
    </row>
    <row r="93" spans="2:7" x14ac:dyDescent="0.35">
      <c r="B93" s="214" t="s">
        <v>95</v>
      </c>
      <c r="C93" s="215"/>
      <c r="D93" s="18"/>
      <c r="E93" s="18"/>
      <c r="F93" s="18"/>
      <c r="G93" s="14"/>
    </row>
    <row r="94" spans="2:7" x14ac:dyDescent="0.35">
      <c r="B94" s="145" t="s">
        <v>96</v>
      </c>
      <c r="C94" s="19">
        <v>1</v>
      </c>
      <c r="D94" s="108" t="s">
        <v>157</v>
      </c>
      <c r="E94" s="108"/>
      <c r="F94" s="108"/>
      <c r="G94" s="23"/>
    </row>
    <row r="95" spans="2:7" x14ac:dyDescent="0.35">
      <c r="B95" s="146"/>
      <c r="C95" s="19">
        <v>2</v>
      </c>
      <c r="D95" s="108" t="s">
        <v>167</v>
      </c>
      <c r="E95" s="108"/>
      <c r="F95" s="108"/>
      <c r="G95" s="23"/>
    </row>
    <row r="96" spans="2:7" x14ac:dyDescent="0.35">
      <c r="B96" s="146"/>
      <c r="C96" s="19">
        <v>3</v>
      </c>
      <c r="D96" s="108"/>
      <c r="E96" s="108"/>
      <c r="F96" s="108"/>
      <c r="G96" s="23"/>
    </row>
    <row r="97" spans="2:7" x14ac:dyDescent="0.35">
      <c r="B97" s="146"/>
      <c r="C97" s="19">
        <v>4</v>
      </c>
      <c r="D97" s="108"/>
      <c r="E97" s="108"/>
      <c r="F97" s="108"/>
      <c r="G97" s="23"/>
    </row>
    <row r="98" spans="2:7" x14ac:dyDescent="0.35">
      <c r="B98" s="146"/>
      <c r="C98" s="19">
        <v>5</v>
      </c>
      <c r="D98" s="108" t="s">
        <v>13</v>
      </c>
      <c r="E98" s="108"/>
      <c r="F98" s="108"/>
      <c r="G98" s="23"/>
    </row>
    <row r="99" spans="2:7" x14ac:dyDescent="0.35">
      <c r="B99" s="145"/>
      <c r="C99" s="19">
        <v>6</v>
      </c>
      <c r="D99" s="108"/>
      <c r="E99" s="108"/>
      <c r="F99" s="108"/>
      <c r="G99" s="23"/>
    </row>
    <row r="100" spans="2:7" x14ac:dyDescent="0.35">
      <c r="B100" s="146"/>
      <c r="C100" s="19">
        <v>7</v>
      </c>
      <c r="D100" s="108"/>
      <c r="E100" s="108"/>
      <c r="F100" s="108"/>
      <c r="G100" s="23"/>
    </row>
    <row r="101" spans="2:7" x14ac:dyDescent="0.35">
      <c r="B101" s="146"/>
      <c r="C101" s="19">
        <v>8</v>
      </c>
      <c r="D101" s="108"/>
      <c r="E101" s="108"/>
      <c r="F101" s="108"/>
      <c r="G101" s="23"/>
    </row>
    <row r="102" spans="2:7" x14ac:dyDescent="0.35">
      <c r="B102" s="146"/>
      <c r="C102" s="19">
        <v>9</v>
      </c>
      <c r="D102" s="108"/>
      <c r="E102" s="108"/>
      <c r="F102" s="108"/>
      <c r="G102" s="23"/>
    </row>
    <row r="103" spans="2:7" x14ac:dyDescent="0.35">
      <c r="B103" s="146"/>
      <c r="C103" s="19">
        <v>10</v>
      </c>
      <c r="D103" s="108"/>
      <c r="E103" s="108"/>
      <c r="F103" s="108"/>
      <c r="G103" s="23"/>
    </row>
    <row r="104" spans="2:7" x14ac:dyDescent="0.35">
      <c r="B104" s="146"/>
      <c r="C104" s="19">
        <v>11</v>
      </c>
      <c r="D104" s="108"/>
      <c r="E104" s="108"/>
      <c r="F104" s="108"/>
      <c r="G104" s="23"/>
    </row>
    <row r="105" spans="2:7" x14ac:dyDescent="0.35">
      <c r="B105" s="146"/>
      <c r="C105" s="19">
        <v>12</v>
      </c>
      <c r="D105" s="108"/>
      <c r="E105" s="108"/>
      <c r="F105" s="108"/>
      <c r="G105" s="23"/>
    </row>
    <row r="106" spans="2:7" x14ac:dyDescent="0.35">
      <c r="B106" s="146"/>
      <c r="C106" s="19">
        <v>13</v>
      </c>
      <c r="D106" s="108"/>
      <c r="E106" s="108"/>
      <c r="F106" s="108"/>
      <c r="G106" s="23"/>
    </row>
    <row r="107" spans="2:7" x14ac:dyDescent="0.35">
      <c r="B107" s="146"/>
      <c r="C107" s="19">
        <v>14</v>
      </c>
      <c r="D107" s="108"/>
      <c r="E107" s="108"/>
      <c r="F107" s="108"/>
      <c r="G107" s="23"/>
    </row>
    <row r="108" spans="2:7" x14ac:dyDescent="0.35">
      <c r="B108" s="145" t="s">
        <v>97</v>
      </c>
      <c r="C108" s="19">
        <v>15</v>
      </c>
      <c r="D108" s="108"/>
      <c r="E108" s="108"/>
      <c r="F108" s="108"/>
      <c r="G108" s="23"/>
    </row>
    <row r="109" spans="2:7" ht="15" thickBot="1" x14ac:dyDescent="0.4">
      <c r="B109" s="147"/>
      <c r="C109" s="143"/>
      <c r="D109" s="13"/>
      <c r="E109" s="13"/>
      <c r="F109" s="13"/>
      <c r="G109" s="14"/>
    </row>
    <row r="110" spans="2:7" ht="15.5" thickTop="1" thickBot="1" x14ac:dyDescent="0.4">
      <c r="B110" s="212" t="s">
        <v>48</v>
      </c>
      <c r="C110" s="213"/>
      <c r="D110" s="109">
        <v>3</v>
      </c>
      <c r="E110" s="21"/>
      <c r="F110" s="13"/>
      <c r="G110" s="14"/>
    </row>
    <row r="111" spans="2:7" ht="15" thickTop="1" x14ac:dyDescent="0.35">
      <c r="B111" s="12"/>
      <c r="C111" s="13"/>
      <c r="D111" s="13"/>
      <c r="E111" s="13"/>
      <c r="F111" s="13"/>
      <c r="G111" s="14"/>
    </row>
    <row r="112" spans="2:7" ht="15" thickBot="1" x14ac:dyDescent="0.4">
      <c r="B112" s="12"/>
      <c r="C112" s="13"/>
      <c r="D112" s="13"/>
      <c r="E112" s="13"/>
      <c r="F112" s="13"/>
      <c r="G112" s="14"/>
    </row>
    <row r="113" spans="2:7" ht="24" thickBot="1" x14ac:dyDescent="0.4">
      <c r="B113" s="225" t="s">
        <v>154</v>
      </c>
      <c r="C113" s="226"/>
      <c r="D113" s="226"/>
      <c r="E113" s="226"/>
      <c r="F113" s="226"/>
      <c r="G113" s="227"/>
    </row>
    <row r="114" spans="2:7" x14ac:dyDescent="0.35">
      <c r="B114" s="144"/>
      <c r="C114" s="17"/>
      <c r="D114" s="22"/>
      <c r="E114" s="22"/>
      <c r="F114" s="22"/>
      <c r="G114" s="14"/>
    </row>
    <row r="115" spans="2:7" x14ac:dyDescent="0.35">
      <c r="B115" s="144"/>
      <c r="C115" s="17"/>
      <c r="D115" s="103" t="s">
        <v>58</v>
      </c>
      <c r="E115" s="105" t="s">
        <v>59</v>
      </c>
      <c r="F115" s="106" t="s">
        <v>60</v>
      </c>
      <c r="G115" s="29"/>
    </row>
    <row r="116" spans="2:7" x14ac:dyDescent="0.35">
      <c r="B116" s="144"/>
      <c r="C116" s="17"/>
      <c r="D116" s="104" t="s">
        <v>61</v>
      </c>
      <c r="E116" s="17"/>
      <c r="F116" s="17"/>
      <c r="G116" s="14"/>
    </row>
    <row r="117" spans="2:7" x14ac:dyDescent="0.35">
      <c r="B117" s="214" t="s">
        <v>95</v>
      </c>
      <c r="C117" s="215"/>
      <c r="D117" s="18"/>
      <c r="E117" s="18"/>
      <c r="F117" s="18"/>
      <c r="G117" s="14"/>
    </row>
    <row r="118" spans="2:7" x14ac:dyDescent="0.35">
      <c r="B118" s="145" t="s">
        <v>96</v>
      </c>
      <c r="C118" s="19">
        <v>1</v>
      </c>
      <c r="D118" s="108" t="s">
        <v>90</v>
      </c>
      <c r="E118" s="108"/>
      <c r="F118" s="108"/>
      <c r="G118" s="23"/>
    </row>
    <row r="119" spans="2:7" x14ac:dyDescent="0.35">
      <c r="B119" s="146"/>
      <c r="C119" s="19">
        <v>2</v>
      </c>
      <c r="D119" s="108"/>
      <c r="E119" s="108"/>
      <c r="F119" s="108"/>
      <c r="G119" s="23"/>
    </row>
    <row r="120" spans="2:7" x14ac:dyDescent="0.35">
      <c r="B120" s="146"/>
      <c r="C120" s="19">
        <v>3</v>
      </c>
      <c r="D120" s="108" t="s">
        <v>92</v>
      </c>
      <c r="E120" s="108"/>
      <c r="F120" s="108"/>
      <c r="G120" s="23"/>
    </row>
    <row r="121" spans="2:7" x14ac:dyDescent="0.35">
      <c r="B121" s="146"/>
      <c r="C121" s="19">
        <v>4</v>
      </c>
      <c r="D121" s="108" t="s">
        <v>93</v>
      </c>
      <c r="E121" s="108"/>
      <c r="F121" s="108"/>
      <c r="G121" s="23"/>
    </row>
    <row r="122" spans="2:7" x14ac:dyDescent="0.35">
      <c r="B122" s="146"/>
      <c r="C122" s="19">
        <v>5</v>
      </c>
      <c r="D122" s="108" t="s">
        <v>91</v>
      </c>
      <c r="E122" s="108"/>
      <c r="F122" s="108"/>
      <c r="G122" s="23"/>
    </row>
    <row r="123" spans="2:7" x14ac:dyDescent="0.35">
      <c r="B123" s="145"/>
      <c r="C123" s="19">
        <v>6</v>
      </c>
      <c r="D123" s="108"/>
      <c r="E123" s="108"/>
      <c r="F123" s="108"/>
      <c r="G123" s="23"/>
    </row>
    <row r="124" spans="2:7" x14ac:dyDescent="0.35">
      <c r="B124" s="146"/>
      <c r="C124" s="19">
        <v>7</v>
      </c>
      <c r="D124" s="108"/>
      <c r="E124" s="108"/>
      <c r="F124" s="108"/>
      <c r="G124" s="23"/>
    </row>
    <row r="125" spans="2:7" x14ac:dyDescent="0.35">
      <c r="B125" s="146"/>
      <c r="C125" s="19">
        <v>8</v>
      </c>
      <c r="D125" s="108"/>
      <c r="E125" s="108"/>
      <c r="F125" s="108"/>
      <c r="G125" s="23"/>
    </row>
    <row r="126" spans="2:7" x14ac:dyDescent="0.35">
      <c r="B126" s="146"/>
      <c r="C126" s="19">
        <v>9</v>
      </c>
      <c r="D126" s="108"/>
      <c r="E126" s="108"/>
      <c r="F126" s="108"/>
      <c r="G126" s="23"/>
    </row>
    <row r="127" spans="2:7" x14ac:dyDescent="0.35">
      <c r="B127" s="146"/>
      <c r="C127" s="19">
        <v>10</v>
      </c>
      <c r="D127" s="108"/>
      <c r="E127" s="108"/>
      <c r="F127" s="108"/>
      <c r="G127" s="23"/>
    </row>
    <row r="128" spans="2:7" x14ac:dyDescent="0.35">
      <c r="B128" s="146"/>
      <c r="C128" s="19">
        <v>11</v>
      </c>
      <c r="D128" s="108"/>
      <c r="E128" s="108"/>
      <c r="F128" s="108"/>
      <c r="G128" s="23"/>
    </row>
    <row r="129" spans="2:7" x14ac:dyDescent="0.35">
      <c r="B129" s="145" t="s">
        <v>97</v>
      </c>
      <c r="C129" s="19">
        <v>12</v>
      </c>
      <c r="D129" s="108"/>
      <c r="E129" s="108"/>
      <c r="F129" s="108"/>
      <c r="G129" s="23"/>
    </row>
    <row r="130" spans="2:7" ht="15" thickBot="1" x14ac:dyDescent="0.4">
      <c r="B130" s="147"/>
      <c r="C130" s="143"/>
      <c r="D130" s="13"/>
      <c r="E130" s="13"/>
      <c r="F130" s="13"/>
      <c r="G130" s="14"/>
    </row>
    <row r="131" spans="2:7" ht="15.5" thickTop="1" thickBot="1" x14ac:dyDescent="0.4">
      <c r="B131" s="212" t="s">
        <v>48</v>
      </c>
      <c r="C131" s="213"/>
      <c r="D131" s="183">
        <v>4</v>
      </c>
      <c r="E131" s="21"/>
      <c r="F131" s="13"/>
      <c r="G131" s="14"/>
    </row>
    <row r="132" spans="2:7" ht="15" thickTop="1" x14ac:dyDescent="0.35">
      <c r="B132" s="12"/>
      <c r="C132" s="13"/>
      <c r="D132" s="13"/>
      <c r="E132" s="13"/>
      <c r="F132" s="13"/>
      <c r="G132" s="14"/>
    </row>
    <row r="133" spans="2:7" x14ac:dyDescent="0.35">
      <c r="B133" s="24"/>
      <c r="C133" s="25"/>
      <c r="D133" s="25"/>
      <c r="E133" s="25"/>
      <c r="F133" s="25"/>
      <c r="G133" s="26"/>
    </row>
    <row r="134" spans="2:7" x14ac:dyDescent="0.35">
      <c r="B134" s="140"/>
      <c r="C134" s="140"/>
      <c r="D134" s="140"/>
      <c r="E134" s="140"/>
      <c r="F134" s="140"/>
      <c r="G134" s="140"/>
    </row>
    <row r="135" spans="2:7" x14ac:dyDescent="0.35">
      <c r="B135" s="140"/>
      <c r="C135" s="140"/>
      <c r="D135" s="140"/>
      <c r="E135" s="140"/>
      <c r="F135" s="140"/>
      <c r="G135" s="140"/>
    </row>
    <row r="136" spans="2:7" x14ac:dyDescent="0.35">
      <c r="B136" s="140"/>
      <c r="C136" s="140"/>
      <c r="D136" s="140"/>
      <c r="E136" s="140"/>
      <c r="F136" s="140"/>
      <c r="G136" s="140"/>
    </row>
  </sheetData>
  <mergeCells count="19">
    <mergeCell ref="D15:F15"/>
    <mergeCell ref="D14:F14"/>
    <mergeCell ref="D6:F13"/>
    <mergeCell ref="B2:G3"/>
    <mergeCell ref="B110:C110"/>
    <mergeCell ref="B18:G18"/>
    <mergeCell ref="B131:C131"/>
    <mergeCell ref="B22:C22"/>
    <mergeCell ref="B46:C46"/>
    <mergeCell ref="B70:C70"/>
    <mergeCell ref="B93:C93"/>
    <mergeCell ref="B117:C117"/>
    <mergeCell ref="B42:G42"/>
    <mergeCell ref="B66:G66"/>
    <mergeCell ref="B90:G90"/>
    <mergeCell ref="B113:G113"/>
    <mergeCell ref="B39:C39"/>
    <mergeCell ref="B63:C63"/>
    <mergeCell ref="B87:C87"/>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B233D976-723D-4FDE-9C98-7B5825EA9059}">
          <x14:formula1>
            <xm:f>Critères!$C$48:$C$52</xm:f>
          </x14:formula1>
          <xm:sqref>D23:F37</xm:sqref>
        </x14:dataValidation>
        <x14:dataValidation type="list" allowBlank="1" showInputMessage="1" showErrorMessage="1" xr:uid="{63FA05A1-82DA-40AE-8FB2-342843DC3427}">
          <x14:formula1>
            <xm:f>Critères!$C$53:$C$56</xm:f>
          </x14:formula1>
          <xm:sqref>D47:F61</xm:sqref>
        </x14:dataValidation>
        <x14:dataValidation type="list" showInputMessage="1" showErrorMessage="1" xr:uid="{DD6CDC8F-72A8-45DD-9FE4-DF56E3BFE58B}">
          <x14:formula1>
            <xm:f>Critères!$C$57:$C$60</xm:f>
          </x14:formula1>
          <xm:sqref>D71:F85</xm:sqref>
        </x14:dataValidation>
        <x14:dataValidation type="list" showInputMessage="1" showErrorMessage="1" xr:uid="{5E4E830A-96B9-4CB0-94AD-54BB4846F017}">
          <x14:formula1>
            <xm:f>Critères!$C$61:$C$63</xm:f>
          </x14:formula1>
          <xm:sqref>D94:F108</xm:sqref>
        </x14:dataValidation>
        <x14:dataValidation type="list" allowBlank="1" showInputMessage="1" showErrorMessage="1" xr:uid="{8B60B6EF-D6C7-4FD3-9C86-F0AC6C480D58}">
          <x14:formula1>
            <xm:f>Critères!$C$41:$C$44</xm:f>
          </x14:formula1>
          <xm:sqref>D118:F129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6834F-43CC-494C-877B-13E2AC9C9C4B}">
  <sheetPr codeName="Feuil6">
    <tabColor rgb="FFC00000"/>
  </sheetPr>
  <dimension ref="B1:AF183"/>
  <sheetViews>
    <sheetView zoomScale="70" zoomScaleNormal="70" workbookViewId="0">
      <selection activeCell="A111" sqref="A111"/>
    </sheetView>
  </sheetViews>
  <sheetFormatPr baseColWidth="10" defaultRowHeight="14.5" x14ac:dyDescent="0.35"/>
  <cols>
    <col min="1" max="1" width="3.6328125" customWidth="1"/>
    <col min="2" max="2" width="5.54296875" bestFit="1" customWidth="1"/>
    <col min="3" max="6" width="7.6328125" customWidth="1"/>
    <col min="7" max="7" width="9.08984375" bestFit="1" customWidth="1"/>
    <col min="8" max="9" width="7.6328125" customWidth="1"/>
    <col min="11" max="11" width="11.1796875" customWidth="1"/>
    <col min="14" max="14" width="2" bestFit="1" customWidth="1"/>
    <col min="16" max="16" width="10.90625" customWidth="1"/>
  </cols>
  <sheetData>
    <row r="1" spans="2:32" ht="15" thickBot="1" x14ac:dyDescent="0.4"/>
    <row r="2" spans="2:32" ht="14.5" customHeight="1" x14ac:dyDescent="0.35">
      <c r="B2" s="198" t="s">
        <v>57</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200"/>
    </row>
    <row r="3" spans="2:32" ht="15" customHeight="1" thickBot="1" x14ac:dyDescent="0.4">
      <c r="B3" s="201"/>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203"/>
    </row>
    <row r="4" spans="2:32" ht="15" thickBot="1" x14ac:dyDescent="0.4"/>
    <row r="5" spans="2:32" ht="24.5" thickTop="1" thickBot="1" x14ac:dyDescent="0.4">
      <c r="B5" s="274" t="s">
        <v>149</v>
      </c>
      <c r="C5" s="275"/>
      <c r="D5" s="275"/>
      <c r="E5" s="275"/>
      <c r="F5" s="275"/>
      <c r="G5" s="275"/>
      <c r="H5" s="275"/>
      <c r="I5" s="275"/>
      <c r="J5" s="275"/>
      <c r="K5" s="275"/>
      <c r="L5" s="275"/>
      <c r="M5" s="275"/>
      <c r="N5" s="275"/>
      <c r="O5" s="275"/>
      <c r="P5" s="275"/>
      <c r="Q5" s="275"/>
      <c r="R5" s="275"/>
      <c r="S5" s="275"/>
      <c r="T5" s="275"/>
      <c r="U5" s="275"/>
      <c r="V5" s="275"/>
      <c r="W5" s="275"/>
      <c r="X5" s="275"/>
      <c r="Y5" s="275"/>
      <c r="Z5" s="275"/>
      <c r="AA5" s="275"/>
      <c r="AB5" s="275"/>
      <c r="AC5" s="275"/>
      <c r="AD5" s="275"/>
      <c r="AE5" s="275"/>
      <c r="AF5" s="276"/>
    </row>
    <row r="6" spans="2:32" ht="15.5" thickTop="1" thickBot="1" x14ac:dyDescent="0.4"/>
    <row r="7" spans="2:32" ht="16.5" customHeight="1" x14ac:dyDescent="0.35">
      <c r="B7" s="257" t="s">
        <v>95</v>
      </c>
      <c r="C7" s="259" t="s">
        <v>0</v>
      </c>
      <c r="D7" s="260"/>
      <c r="E7" s="261"/>
      <c r="F7" s="259" t="s">
        <v>99</v>
      </c>
      <c r="G7" s="260"/>
      <c r="H7" s="261"/>
      <c r="I7" s="257" t="s">
        <v>98</v>
      </c>
      <c r="J7" s="257" t="s">
        <v>48</v>
      </c>
      <c r="K7" s="257" t="s">
        <v>100</v>
      </c>
      <c r="L7" s="253" t="s">
        <v>104</v>
      </c>
      <c r="O7" s="253" t="s">
        <v>0</v>
      </c>
      <c r="P7" s="253" t="s">
        <v>104</v>
      </c>
      <c r="Q7" s="253" t="s">
        <v>101</v>
      </c>
      <c r="R7" s="253" t="s">
        <v>102</v>
      </c>
      <c r="S7" s="253" t="s">
        <v>103</v>
      </c>
      <c r="T7" s="253" t="s">
        <v>123</v>
      </c>
      <c r="U7" s="253" t="s">
        <v>111</v>
      </c>
      <c r="V7" s="253" t="s">
        <v>143</v>
      </c>
      <c r="W7" s="257" t="s">
        <v>117</v>
      </c>
      <c r="X7" s="251" t="s">
        <v>128</v>
      </c>
      <c r="Y7" s="253" t="s">
        <v>144</v>
      </c>
      <c r="Z7" s="257" t="s">
        <v>126</v>
      </c>
      <c r="AA7" s="251" t="s">
        <v>127</v>
      </c>
      <c r="AB7" s="253" t="s">
        <v>112</v>
      </c>
      <c r="AC7" s="253" t="s">
        <v>113</v>
      </c>
      <c r="AD7" s="46"/>
      <c r="AE7" s="255" t="s">
        <v>129</v>
      </c>
    </row>
    <row r="8" spans="2:32" ht="15" thickBot="1" x14ac:dyDescent="0.4">
      <c r="B8" s="258"/>
      <c r="C8" s="265"/>
      <c r="D8" s="266"/>
      <c r="E8" s="267"/>
      <c r="F8" s="265"/>
      <c r="G8" s="266"/>
      <c r="H8" s="267"/>
      <c r="I8" s="258"/>
      <c r="J8" s="258"/>
      <c r="K8" s="252"/>
      <c r="L8" s="268"/>
      <c r="O8" s="268"/>
      <c r="P8" s="268"/>
      <c r="Q8" s="268"/>
      <c r="R8" s="268"/>
      <c r="S8" s="268"/>
      <c r="T8" s="268"/>
      <c r="U8" s="268"/>
      <c r="V8" s="268"/>
      <c r="W8" s="258"/>
      <c r="X8" s="269"/>
      <c r="Y8" s="254"/>
      <c r="Z8" s="252"/>
      <c r="AA8" s="252"/>
      <c r="AB8" s="254"/>
      <c r="AC8" s="254"/>
      <c r="AD8" s="46"/>
      <c r="AE8" s="256"/>
    </row>
    <row r="9" spans="2:32" x14ac:dyDescent="0.35">
      <c r="B9" s="136">
        <f>IF(C9=0,0,1)</f>
        <v>0</v>
      </c>
      <c r="C9" s="63">
        <f>IF(Classements!D37=Critères!$C$48,Critères!$B$48,IF(Classements!D37=Critères!$C$49,Critères!$B$49,IF(Classements!D37=Critères!$C$50,Critères!$B$50,IF(Classements!D37=Critères!$C$51,Critères!$B$51,IF(Classements!D37=Critères!$C$52,Critères!$B$52,0)))))</f>
        <v>0</v>
      </c>
      <c r="D9" s="59">
        <f>IF(Classements!E37=Critères!$C$48,Critères!$B$48,IF(Classements!E37=Critères!$C$49,Critères!$B$49,IF(Classements!E37=Critères!$C$50,Critères!$B$50,IF(Classements!E37=Critères!$C$51,Critères!$B$51,IF(Classements!E37=Critères!$C$52,Critères!$B$52,0)))))</f>
        <v>0</v>
      </c>
      <c r="E9" s="64">
        <f>IF(Classements!F37=Critères!$C$48,Critères!$B$48,IF(Classements!F37=Critères!$C$49,Critères!$B$49,IF(Classements!F37=Critères!$C$50,Critères!$B$50,IF(Classements!F37=Critères!$C$51,Critères!$B$51,IF(Classements!F37=Critères!$C$52,Critères!$B$52,0)))))</f>
        <v>0</v>
      </c>
      <c r="F9" s="137" t="str">
        <f>IF(B9=0,"-",IF(C10=0,1,0))</f>
        <v>-</v>
      </c>
      <c r="G9" s="46" t="str">
        <f>IF(F9="-","-",IF(F9=0,0,IF(G10&lt;&gt;0,G10+F9,F9)))</f>
        <v>-</v>
      </c>
      <c r="H9" s="34" t="str">
        <f>IF(OR(G8=0,G8="-"),G9,0)</f>
        <v>-</v>
      </c>
      <c r="I9" s="136">
        <f t="shared" ref="I9:I20" si="0">IF(H9="-",0,H9+1)</f>
        <v>0</v>
      </c>
      <c r="J9" s="249">
        <f>Classements!D39</f>
        <v>5</v>
      </c>
      <c r="K9" s="135" t="str">
        <f>IF(C9=0,"-",IF(D9=0,1,IF(E9=0,2,3)))</f>
        <v>-</v>
      </c>
      <c r="L9" s="73" t="str">
        <f>IF(C9=0,"-",1+$J$25*0)</f>
        <v>-</v>
      </c>
      <c r="M9" s="43"/>
      <c r="N9" s="135">
        <v>1</v>
      </c>
      <c r="O9" s="135" t="s">
        <v>118</v>
      </c>
      <c r="P9" s="40">
        <f>INDEX($L$9:$L$23,coord($C$9:$E$23,O9))</f>
        <v>4.5</v>
      </c>
      <c r="Q9" s="40">
        <f>(100/$P$15)*P9</f>
        <v>27.272727272727273</v>
      </c>
      <c r="R9" s="66">
        <f>TRUNC(Q9,$Q$15)</f>
        <v>27.27</v>
      </c>
      <c r="S9" s="40">
        <f>(10^(-$Q$15)-(Q9-R9))/Q9</f>
        <v>2.6666666666662738E-4</v>
      </c>
      <c r="T9" s="40">
        <f t="shared" ref="T9:T13" si="1">(Q9-R9)/Q9</f>
        <v>1.0000000000003932E-4</v>
      </c>
      <c r="U9" s="135">
        <f t="shared" ref="U9:U13" si="2">IF(S9&gt;T9,1,0)</f>
        <v>1</v>
      </c>
      <c r="V9" s="40">
        <f>IF(U9=1,S9,"")</f>
        <v>2.6666666666662738E-4</v>
      </c>
      <c r="W9" s="78" cm="1">
        <f t="array" ref="W9">IF(U15+S15&gt;O15,IF(W15=1,SMALL(V9:V13,{1}),IF(W15=2,SMALL(V9:V13,{1;2}),IF(W15=3,SMALL(V9:V13,{1;2;3}),IF(W15=4,SMALL(V9:V13,{1;2;3;4}),IF(W15=5,SMALL(V9:V13,{1;2;3;4;5}),IF(W15=6,SMALL(V9:V13,{1;2;3;4;5;6}),IF(W15=7,SMALL(V9:V13,{1;2;3;4;5;6;7}),IF(W15=8,SMALL(V9:V13,{1;2;3;4;5;6;7;8}))))))))),0)</f>
        <v>2.6666666666662738E-4</v>
      </c>
      <c r="X9" s="72">
        <f>IF(COUNTIF($W$9:$W$13,S9)&lt;&gt;0,1,0)</f>
        <v>1</v>
      </c>
      <c r="Y9" s="73" t="str">
        <f>IF(U9=0,T9,"")</f>
        <v/>
      </c>
      <c r="Z9" s="78" cm="1">
        <f t="array" ref="Z9">IF(U15+S15&lt;O15,IF(Z15=1,SMALL(Y9:Y13,{1}),IF(Z15=2,SMALL(Y9:Y13,{1;2}),IF(Z15=3,SMALL(Y9:Y13,{1;2;3}),IF(Z15=4,SMALL(Y9:Y13,{1;2;3;4}),IF(Z15=5,SMALL(Y9:Y13,{1;2;3;4;5}),IF(Z15=6,SMALL(Y9:Y13,{1;2;3;4;5;6}),IF(Z15=7,SMALL(Y9:Y13,{1;2;3;4;5;6;7}),IF(Z15=8,SMALL(Y9:Y13,{1;2;3;4;5;6;7;8}))))))))),0)</f>
        <v>0</v>
      </c>
      <c r="AA9" s="72">
        <f>IF(COUNTIF($Z$9:$Z$13,T9)&lt;&gt;0,1,0)</f>
        <v>0</v>
      </c>
      <c r="AB9" s="64">
        <f>IF($U$15+$S$15&gt;$O$15,IF(U9=0,1,IF(X9=1,1,0)),IF(AC9=1,0,1))</f>
        <v>1</v>
      </c>
      <c r="AC9" s="64">
        <f>IF($U$15+$S$15&lt;=$O$15,IF(U9=1,1,IF(AA9=1,1,0)),IF(AB9=1,0,1))</f>
        <v>0</v>
      </c>
      <c r="AD9" s="46"/>
      <c r="AE9" s="94">
        <f>IF(AND(AB9=0,AC9=1),ROUNDDOWN(Q9,$Q$15),ROUNDUP(Q9,$Q$15))</f>
        <v>27.28</v>
      </c>
    </row>
    <row r="10" spans="2:32" x14ac:dyDescent="0.35">
      <c r="B10" s="136">
        <f>IF(B9=0,IF(C10=0,0,1),B9+1)</f>
        <v>0</v>
      </c>
      <c r="C10" s="137">
        <f>IF(Classements!D36=Critères!$C$48,Critères!$B$48,IF(Classements!D36=Critères!$C$49,Critères!$B$49,IF(Classements!D36=Critères!$C$50,Critères!$B$50,IF(Classements!D36=Critères!$C$51,Critères!$B$51,IF(Classements!D36=Critères!$C$52,Critères!$B$52,0)))))</f>
        <v>0</v>
      </c>
      <c r="D10" s="33">
        <f>IF(Classements!E36=Critères!$C$48,Critères!$B$48,IF(Classements!E36=Critères!$C$49,Critères!$B$49,IF(Classements!E36=Critères!$C$50,Critères!$B$50,IF(Classements!E36=Critères!$C$51,Critères!$B$51,IF(Classements!E36=Critères!$C$52,Critères!$B$52,0)))))</f>
        <v>0</v>
      </c>
      <c r="E10" s="34">
        <f>IF(Classements!F36=Critères!$C$48,Critères!$B$48,IF(Classements!F36=Critères!$C$49,Critères!$B$49,IF(Classements!F36=Critères!$C$50,Critères!$B$50,IF(Classements!F36=Critères!$C$51,Critères!$B$51,IF(Classements!F36=Critères!$C$52,Critères!$B$52,0)))))</f>
        <v>0</v>
      </c>
      <c r="F10" s="137" t="str">
        <f>IF(B10=0,"-",IF(C11=0,1,0))</f>
        <v>-</v>
      </c>
      <c r="G10" s="46" t="str">
        <f>IF(F10="-","-",IF(F10=0,0,IF(G11&lt;&gt;0,G11+F10,F10)))</f>
        <v>-</v>
      </c>
      <c r="H10" s="34" t="str">
        <f>IF(OR(G9=0,G9="-"),G10,0)</f>
        <v>-</v>
      </c>
      <c r="I10" s="136">
        <f t="shared" si="0"/>
        <v>0</v>
      </c>
      <c r="J10" s="249"/>
      <c r="K10" s="136" t="str">
        <f t="shared" ref="K10:K23" si="3">IF(C10=0,"-",IF(D10=0,1,IF(E10=0,2,3)))</f>
        <v>-</v>
      </c>
      <c r="L10" s="65" t="str">
        <f>IF(C10=0,"-",IF(B10=1,1+$J$25*0,1+$J$25*(0+I9)))</f>
        <v>-</v>
      </c>
      <c r="M10" s="43"/>
      <c r="N10" s="136">
        <v>2</v>
      </c>
      <c r="O10" s="136" t="s">
        <v>119</v>
      </c>
      <c r="P10" s="41">
        <f>INDEX($L$9:$L$23,coord($C$9:$E$23,O10))</f>
        <v>4</v>
      </c>
      <c r="Q10" s="41">
        <f>(100/$P$15)*P10</f>
        <v>24.242424242424242</v>
      </c>
      <c r="R10" s="136">
        <f>TRUNC(Q10,$Q$15)</f>
        <v>24.24</v>
      </c>
      <c r="S10" s="41">
        <f>(10^(-$Q$15)-(Q10-R10))/Q10</f>
        <v>3.1249999999994439E-4</v>
      </c>
      <c r="T10" s="41">
        <f t="shared" si="1"/>
        <v>1.000000000000556E-4</v>
      </c>
      <c r="U10" s="136">
        <f t="shared" si="2"/>
        <v>1</v>
      </c>
      <c r="V10" s="41">
        <f t="shared" ref="V10:V13" si="4">IF(U10=1,S10,"")</f>
        <v>3.1249999999994439E-4</v>
      </c>
      <c r="W10" s="79"/>
      <c r="X10" s="136">
        <f>IF(COUNTIF($W$9:$W$13,S10)&lt;&gt;0,IF(SUM(X9)&gt;=W15,0,1),0)</f>
        <v>0</v>
      </c>
      <c r="Y10" s="65" t="str">
        <f t="shared" ref="Y10:Y13" si="5">IF(U10=0,T10,"")</f>
        <v/>
      </c>
      <c r="Z10" s="79"/>
      <c r="AA10" s="136">
        <f>IF(COUNTIF($Z$9:$Z$13,T10)&lt;&gt;0,IF(SUM(AA9)&gt;=Z15,0,1),0)</f>
        <v>0</v>
      </c>
      <c r="AB10" s="34">
        <f>IF($U$15+$S$15&gt;$O$15,IF(U10=0,1,IF(X10=1,1,0)),IF(AC10=1,0,1))</f>
        <v>0</v>
      </c>
      <c r="AC10" s="34">
        <f>IF($U$15+$S$15&lt;=$O$15,IF(U10=1,1,IF(AA10=1,1,0)),IF(AB10=1,0,1))</f>
        <v>1</v>
      </c>
      <c r="AD10" s="46"/>
      <c r="AE10" s="95">
        <f>IF(AND(AB10=0,AC10=1),ROUNDDOWN(Q10,$Q$15),ROUNDUP(Q10,$Q$15))</f>
        <v>24.24</v>
      </c>
    </row>
    <row r="11" spans="2:32" x14ac:dyDescent="0.35">
      <c r="B11" s="136">
        <f t="shared" ref="B11:B23" si="6">IF(B10=0,IF(C11=0,0,1),B10+1)</f>
        <v>0</v>
      </c>
      <c r="C11" s="137">
        <f>IF(Classements!D35=Critères!$C$48,Critères!$B$48,IF(Classements!D35=Critères!$C$49,Critères!$B$49,IF(Classements!D35=Critères!$C$50,Critères!$B$50,IF(Classements!D35=Critères!$C$51,Critères!$B$51,IF(Classements!D35=Critères!$C$52,Critères!$B$52,0)))))</f>
        <v>0</v>
      </c>
      <c r="D11" s="33">
        <f>IF(Classements!E35=Critères!$C$48,Critères!$B$48,IF(Classements!E35=Critères!$C$49,Critères!$B$49,IF(Classements!E35=Critères!$C$50,Critères!$B$50,IF(Classements!E35=Critères!$C$51,Critères!$B$51,IF(Classements!E35=Critères!$C$52,Critères!$B$52,0)))))</f>
        <v>0</v>
      </c>
      <c r="E11" s="34">
        <f>IF(Classements!F35=Critères!$C$48,Critères!$B$48,IF(Classements!F35=Critères!$C$49,Critères!$B$49,IF(Classements!F35=Critères!$C$50,Critères!$B$50,IF(Classements!F35=Critères!$C$51,Critères!$B$51,IF(Classements!F35=Critères!$C$52,Critères!$B$52,0)))))</f>
        <v>0</v>
      </c>
      <c r="F11" s="137" t="str">
        <f>IF(B11=0,"-",IF(C12=0,1,0))</f>
        <v>-</v>
      </c>
      <c r="G11" s="46" t="str">
        <f>IF(F11="-","-",IF(F11=0,0,IF(G12&lt;&gt;0,G12+F11,F11)))</f>
        <v>-</v>
      </c>
      <c r="H11" s="34" t="str">
        <f>IF(OR(G10=0,G10="-"),G11,0)</f>
        <v>-</v>
      </c>
      <c r="I11" s="136">
        <f t="shared" si="0"/>
        <v>0</v>
      </c>
      <c r="J11" s="249"/>
      <c r="K11" s="136" t="str">
        <f t="shared" si="3"/>
        <v>-</v>
      </c>
      <c r="L11" s="65" t="str">
        <f>IF(C11=0,"-",IF(B11=1,1+$J$25*0,1+$J$25*(0+I9+I10)))</f>
        <v>-</v>
      </c>
      <c r="M11" s="43"/>
      <c r="N11" s="136">
        <v>3</v>
      </c>
      <c r="O11" s="136" t="s">
        <v>120</v>
      </c>
      <c r="P11" s="41">
        <f>INDEX($L$9:$L$23,coord($C$9:$E$23,O11))</f>
        <v>1</v>
      </c>
      <c r="Q11" s="41">
        <f>(100/$P$15)*P11</f>
        <v>6.0606060606060606</v>
      </c>
      <c r="R11" s="136">
        <f>TRUNC(Q11,$Q$15)</f>
        <v>6.06</v>
      </c>
      <c r="S11" s="41">
        <f>(10^(-$Q$15)-(Q11-R11))/Q11</f>
        <v>1.5499999999999444E-3</v>
      </c>
      <c r="T11" s="41">
        <f t="shared" si="1"/>
        <v>1.000000000000556E-4</v>
      </c>
      <c r="U11" s="136">
        <f t="shared" si="2"/>
        <v>1</v>
      </c>
      <c r="V11" s="41">
        <f t="shared" si="4"/>
        <v>1.5499999999999444E-3</v>
      </c>
      <c r="W11" s="79"/>
      <c r="X11" s="136">
        <f>IF(COUNTIF($W$9:$W$13,S11)&lt;&gt;0,IF(SUM(X9:X10)&gt;=W15,0,1),0)</f>
        <v>0</v>
      </c>
      <c r="Y11" s="65" t="str">
        <f t="shared" si="5"/>
        <v/>
      </c>
      <c r="Z11" s="79"/>
      <c r="AA11" s="136">
        <f>IF(COUNTIF($Z$9:$Z$13,T11)&lt;&gt;0,IF(SUM(AA9:AA10)&gt;=Z15,0,1),0)</f>
        <v>0</v>
      </c>
      <c r="AB11" s="34">
        <f>IF($U$15+$S$15&gt;$O$15,IF(U11=0,1,IF(X11=1,1,0)),IF(AC11=1,0,1))</f>
        <v>0</v>
      </c>
      <c r="AC11" s="34">
        <f>IF($U$15+$S$15&lt;=$O$15,IF(U11=1,1,IF(AA11=1,1,0)),IF(AB11=1,0,1))</f>
        <v>1</v>
      </c>
      <c r="AD11" s="46"/>
      <c r="AE11" s="95">
        <f>IF(AND(AB11=0,AC11=1),ROUNDDOWN(Q11,$Q$15),ROUNDUP(Q11,$Q$15))</f>
        <v>6.06</v>
      </c>
    </row>
    <row r="12" spans="2:32" x14ac:dyDescent="0.35">
      <c r="B12" s="136">
        <f t="shared" si="6"/>
        <v>0</v>
      </c>
      <c r="C12" s="137">
        <f>IF(Classements!D34=Critères!$C$48,Critères!$B$48,IF(Classements!D34=Critères!$C$49,Critères!$B$49,IF(Classements!D34=Critères!$C$50,Critères!$B$50,IF(Classements!D34=Critères!$C$51,Critères!$B$51,IF(Classements!D34=Critères!$C$52,Critères!$B$52,0)))))</f>
        <v>0</v>
      </c>
      <c r="D12" s="33">
        <f>IF(Classements!E34=Critères!$C$48,Critères!$B$48,IF(Classements!E34=Critères!$C$49,Critères!$B$49,IF(Classements!E34=Critères!$C$50,Critères!$B$50,IF(Classements!E34=Critères!$C$51,Critères!$B$51,IF(Classements!E34=Critères!$C$52,Critères!$B$52,0)))))</f>
        <v>0</v>
      </c>
      <c r="E12" s="34">
        <f>IF(Classements!F34=Critères!$C$48,Critères!$B$48,IF(Classements!F34=Critères!$C$49,Critères!$B$49,IF(Classements!F34=Critères!$C$50,Critères!$B$50,IF(Classements!F34=Critères!$C$51,Critères!$B$51,IF(Classements!F34=Critères!$C$52,Critères!$B$52,0)))))</f>
        <v>0</v>
      </c>
      <c r="F12" s="137" t="str">
        <f>IF(B12=0,"-",IF(C13=0,1,0))</f>
        <v>-</v>
      </c>
      <c r="G12" s="46" t="str">
        <f t="shared" ref="G12:G21" si="7">IF(F12="-","-",IF(F12=0,0,IF(G13&lt;&gt;0,G13+F12,F12)))</f>
        <v>-</v>
      </c>
      <c r="H12" s="34" t="str">
        <f>IF(OR(G11=0,G11="-"),G12,0)</f>
        <v>-</v>
      </c>
      <c r="I12" s="136">
        <f t="shared" si="0"/>
        <v>0</v>
      </c>
      <c r="J12" s="249"/>
      <c r="K12" s="136" t="str">
        <f t="shared" si="3"/>
        <v>-</v>
      </c>
      <c r="L12" s="65" t="str">
        <f>IF(C12=0,"-",IF(B12=1,1+$J$25*0,1+$J$25*(0+I9+I10+I11)))</f>
        <v>-</v>
      </c>
      <c r="M12" s="43"/>
      <c r="N12" s="136">
        <v>4</v>
      </c>
      <c r="O12" s="136" t="s">
        <v>121</v>
      </c>
      <c r="P12" s="41">
        <f>INDEX($L$9:$L$23,coord($C$9:$E$23,O12))</f>
        <v>4.5</v>
      </c>
      <c r="Q12" s="41">
        <f>(100/$P$15)*P12</f>
        <v>27.272727272727273</v>
      </c>
      <c r="R12" s="136">
        <f>TRUNC(Q12,$Q$15)</f>
        <v>27.27</v>
      </c>
      <c r="S12" s="41">
        <f>(10^(-$Q$15)-(Q12-R12))/Q12</f>
        <v>2.6666666666662738E-4</v>
      </c>
      <c r="T12" s="41">
        <f t="shared" si="1"/>
        <v>1.0000000000003932E-4</v>
      </c>
      <c r="U12" s="136">
        <f t="shared" si="2"/>
        <v>1</v>
      </c>
      <c r="V12" s="41">
        <f t="shared" si="4"/>
        <v>2.6666666666662738E-4</v>
      </c>
      <c r="W12" s="79"/>
      <c r="X12" s="136">
        <f>IF(COUNTIF($W$9:$W$13,S12)&lt;&gt;0,IF(SUM(X9:X11)&gt;=W15,0,1),0)</f>
        <v>0</v>
      </c>
      <c r="Y12" s="65" t="str">
        <f t="shared" si="5"/>
        <v/>
      </c>
      <c r="Z12" s="79"/>
      <c r="AA12" s="136">
        <f>IF(COUNTIF($Z$9:$Z$13,T12)&lt;&gt;0,IF(SUM(AA9:AA11)&gt;=Z15,0,1),0)</f>
        <v>0</v>
      </c>
      <c r="AB12" s="34">
        <f>IF($U$15+$S$15&gt;$O$15,IF(U12=0,1,IF(X12=1,1,0)),IF(AC12=1,0,1))</f>
        <v>0</v>
      </c>
      <c r="AC12" s="34">
        <f>IF($U$15+$S$15&lt;=$O$15,IF(U12=1,1,IF(AA12=1,1,0)),IF(AB12=1,0,1))</f>
        <v>1</v>
      </c>
      <c r="AD12" s="46"/>
      <c r="AE12" s="95">
        <f>IF(AND(AB12=0,AC12=1),ROUNDDOWN(Q12,$Q$15),ROUNDUP(Q12,$Q$15))</f>
        <v>27.27</v>
      </c>
    </row>
    <row r="13" spans="2:32" ht="15" thickBot="1" x14ac:dyDescent="0.4">
      <c r="B13" s="136">
        <f t="shared" si="6"/>
        <v>0</v>
      </c>
      <c r="C13" s="137">
        <f>IF(Classements!D33=Critères!$C$48,Critères!$B$48,IF(Classements!D33=Critères!$C$49,Critères!$B$49,IF(Classements!D33=Critères!$C$50,Critères!$B$50,IF(Classements!D33=Critères!$C$51,Critères!$B$51,IF(Classements!D33=Critères!$C$52,Critères!$B$52,0)))))</f>
        <v>0</v>
      </c>
      <c r="D13" s="33">
        <f>IF(Classements!E33=Critères!$C$48,Critères!$B$48,IF(Classements!E33=Critères!$C$49,Critères!$B$49,IF(Classements!E33=Critères!$C$50,Critères!$B$50,IF(Classements!E33=Critères!$C$51,Critères!$B$51,IF(Classements!E33=Critères!$C$52,Critères!$B$52,0)))))</f>
        <v>0</v>
      </c>
      <c r="E13" s="34">
        <f>IF(Classements!F33=Critères!$C$48,Critères!$B$48,IF(Classements!F33=Critères!$C$49,Critères!$B$49,IF(Classements!F33=Critères!$C$50,Critères!$B$50,IF(Classements!F33=Critères!$C$51,Critères!$B$51,IF(Classements!F33=Critères!$C$52,Critères!$B$52,0)))))</f>
        <v>0</v>
      </c>
      <c r="F13" s="137" t="str">
        <f t="shared" ref="F13:F22" si="8">IF(B13=0,"-",IF(C14=0,1,0))</f>
        <v>-</v>
      </c>
      <c r="G13" s="46" t="str">
        <f t="shared" si="7"/>
        <v>-</v>
      </c>
      <c r="H13" s="34" t="str">
        <f t="shared" ref="H13:H21" si="9">IF(OR(G12=0,G12="-"),G13,0)</f>
        <v>-</v>
      </c>
      <c r="I13" s="136">
        <f t="shared" si="0"/>
        <v>0</v>
      </c>
      <c r="J13" s="249"/>
      <c r="K13" s="136" t="str">
        <f t="shared" si="3"/>
        <v>-</v>
      </c>
      <c r="L13" s="65" t="str">
        <f>IF(C13=0,"-",IF(B13=1,1+$J$25*0,1+$J$25*(0+I9+I10+I11+I12)))</f>
        <v>-</v>
      </c>
      <c r="M13" s="43"/>
      <c r="N13" s="139">
        <v>5</v>
      </c>
      <c r="O13" s="139" t="s">
        <v>122</v>
      </c>
      <c r="P13" s="42">
        <f>INDEX($L$9:$L$23,coord($C$9:$E$23,O13))</f>
        <v>2.5</v>
      </c>
      <c r="Q13" s="42">
        <f>(100/$P$15)*P13</f>
        <v>15.151515151515152</v>
      </c>
      <c r="R13" s="139">
        <f>TRUNC(Q13,$Q$15)</f>
        <v>15.15</v>
      </c>
      <c r="S13" s="42">
        <f>(10^(-$Q$15)-(Q13-R13))/Q13</f>
        <v>5.5999999999997371E-4</v>
      </c>
      <c r="T13" s="42">
        <f t="shared" si="1"/>
        <v>1.0000000000002628E-4</v>
      </c>
      <c r="U13" s="139">
        <f t="shared" si="2"/>
        <v>1</v>
      </c>
      <c r="V13" s="42">
        <f t="shared" si="4"/>
        <v>5.5999999999997371E-4</v>
      </c>
      <c r="W13" s="80"/>
      <c r="X13" s="139">
        <f>IF(COUNTIF($W$9:$W$13,S13)&lt;&gt;0,IF(SUM(X9:X12)&gt;=W15,0,1),0)</f>
        <v>0</v>
      </c>
      <c r="Y13" s="74" t="str">
        <f t="shared" si="5"/>
        <v/>
      </c>
      <c r="Z13" s="80"/>
      <c r="AA13" s="139">
        <f>IF(COUNTIF($Z$9:$Z$13,T13)&lt;&gt;0,IF(SUM(AA9:AA12)&gt;=Z15,0,1),0)</f>
        <v>0</v>
      </c>
      <c r="AB13" s="47">
        <f>IF($U$15+$S$15&gt;$O$15,IF(U13=0,1,IF(X13=1,1,0)),IF(AC13=1,0,1))</f>
        <v>0</v>
      </c>
      <c r="AC13" s="47">
        <f>IF($U$15+$S$15&lt;=$O$15,IF(U13=1,1,IF(AA13=1,1,0)),IF(AB13=1,0,1))</f>
        <v>1</v>
      </c>
      <c r="AD13" s="46"/>
      <c r="AE13" s="96">
        <f>IF(AND(AB13=0,AC13=1),ROUNDDOWN(Q13,$Q$15),ROUNDUP(Q13,$Q$15))</f>
        <v>15.15</v>
      </c>
    </row>
    <row r="14" spans="2:32" ht="15" thickBot="1" x14ac:dyDescent="0.4">
      <c r="B14" s="136">
        <f t="shared" si="6"/>
        <v>0</v>
      </c>
      <c r="C14" s="137">
        <f>IF(Classements!D32=Critères!$C$48,Critères!$B$48,IF(Classements!D32=Critères!$C$49,Critères!$B$49,IF(Classements!D32=Critères!$C$50,Critères!$B$50,IF(Classements!D32=Critères!$C$51,Critères!$B$51,IF(Classements!D32=Critères!$C$52,Critères!$B$52,0)))))</f>
        <v>0</v>
      </c>
      <c r="D14" s="33">
        <f>IF(Classements!E32=Critères!$C$48,Critères!$B$48,IF(Classements!E32=Critères!$C$49,Critères!$B$49,IF(Classements!E32=Critères!$C$50,Critères!$B$50,IF(Classements!E32=Critères!$C$51,Critères!$B$51,IF(Classements!E32=Critères!$C$52,Critères!$B$52,0)))))</f>
        <v>0</v>
      </c>
      <c r="E14" s="34">
        <f>IF(Classements!F32=Critères!$C$48,Critères!$B$48,IF(Classements!F32=Critères!$C$49,Critères!$B$49,IF(Classements!F32=Critères!$C$50,Critères!$B$50,IF(Classements!F32=Critères!$C$51,Critères!$B$51,IF(Classements!F32=Critères!$C$52,Critères!$B$52,0)))))</f>
        <v>0</v>
      </c>
      <c r="F14" s="137" t="str">
        <f t="shared" si="8"/>
        <v>-</v>
      </c>
      <c r="G14" s="46" t="str">
        <f t="shared" si="7"/>
        <v>-</v>
      </c>
      <c r="H14" s="34" t="str">
        <f>IF(OR(G13=0,G13="-"),G14,0)</f>
        <v>-</v>
      </c>
      <c r="I14" s="136">
        <f t="shared" si="0"/>
        <v>0</v>
      </c>
      <c r="J14" s="249"/>
      <c r="K14" s="136" t="str">
        <f t="shared" si="3"/>
        <v>-</v>
      </c>
      <c r="L14" s="65" t="str">
        <f>IF(C14=0,"-",IF(B14=1,1+$J$25*0,1+$J$25*(0+I9+I10+I11+I12+I13)))</f>
        <v>-</v>
      </c>
      <c r="M14" s="43"/>
      <c r="N14" s="43"/>
      <c r="O14" s="46" t="s">
        <v>124</v>
      </c>
      <c r="P14" s="46" t="s">
        <v>114</v>
      </c>
      <c r="Q14" s="46" t="s">
        <v>107</v>
      </c>
      <c r="R14" s="46" t="s">
        <v>108</v>
      </c>
      <c r="S14" s="60" t="s">
        <v>109</v>
      </c>
      <c r="T14" s="46"/>
      <c r="U14" s="44" t="s">
        <v>110</v>
      </c>
      <c r="V14" s="44"/>
      <c r="W14" s="46" t="s">
        <v>142</v>
      </c>
      <c r="X14" s="33"/>
      <c r="Y14" s="33"/>
      <c r="Z14" s="46" t="s">
        <v>125</v>
      </c>
      <c r="AA14" s="33"/>
      <c r="AB14" s="44" t="s">
        <v>115</v>
      </c>
      <c r="AC14" s="44" t="s">
        <v>116</v>
      </c>
      <c r="AE14" s="97"/>
    </row>
    <row r="15" spans="2:32" ht="15" thickBot="1" x14ac:dyDescent="0.4">
      <c r="B15" s="136">
        <f t="shared" si="6"/>
        <v>0</v>
      </c>
      <c r="C15" s="137">
        <f>IF(Classements!D31=Critères!$C$48,Critères!$B$48,IF(Classements!D31=Critères!$C$49,Critères!$B$49,IF(Classements!D31=Critères!$C$50,Critères!$B$50,IF(Classements!D31=Critères!$C$51,Critères!$B$51,IF(Classements!D31=Critères!$C$52,Critères!$B$52,0)))))</f>
        <v>0</v>
      </c>
      <c r="D15" s="33">
        <f>IF(Classements!E31=Critères!$C$48,Critères!$B$48,IF(Classements!E31=Critères!$C$49,Critères!$B$49,IF(Classements!E31=Critères!$C$50,Critères!$B$50,IF(Classements!E31=Critères!$C$51,Critères!$B$51,IF(Classements!E31=Critères!$C$52,Critères!$B$52,0)))))</f>
        <v>0</v>
      </c>
      <c r="E15" s="34">
        <f>IF(Classements!F31=Critères!$C$48,Critères!$B$48,IF(Classements!F31=Critères!$C$49,Critères!$B$49,IF(Classements!F31=Critères!$C$50,Critères!$B$50,IF(Classements!F31=Critères!$C$51,Critères!$B$51,IF(Classements!F31=Critères!$C$52,Critères!$B$52,0)))))</f>
        <v>0</v>
      </c>
      <c r="F15" s="137" t="str">
        <f t="shared" si="8"/>
        <v>-</v>
      </c>
      <c r="G15" s="46" t="str">
        <f t="shared" si="7"/>
        <v>-</v>
      </c>
      <c r="H15" s="34" t="str">
        <f>IF(OR(G14=0,G14="-"),G15,0)</f>
        <v>-</v>
      </c>
      <c r="I15" s="136">
        <f t="shared" si="0"/>
        <v>0</v>
      </c>
      <c r="J15" s="249"/>
      <c r="K15" s="136" t="str">
        <f t="shared" si="3"/>
        <v>-</v>
      </c>
      <c r="L15" s="65" t="str">
        <f>IF(C15=0,"-",IF(B15=1,1+$J$25*0,1+$J$25*(0+I9+I10+I11+I12+I13+I14)))</f>
        <v>-</v>
      </c>
      <c r="M15" s="43"/>
      <c r="N15" s="43"/>
      <c r="O15" s="36">
        <f>COUNTIF(O9:O13,"&lt;&gt;0")</f>
        <v>5</v>
      </c>
      <c r="P15" s="37">
        <f>SUM(P9:P13)</f>
        <v>16.5</v>
      </c>
      <c r="Q15" s="36">
        <v>2</v>
      </c>
      <c r="R15" s="45">
        <f>SUM(R9:R13)</f>
        <v>99.990000000000009</v>
      </c>
      <c r="S15" s="71">
        <f>ROUND(10^(Q15)*(100-R15),0)</f>
        <v>1</v>
      </c>
      <c r="T15" s="50"/>
      <c r="U15" s="38">
        <f>SUM(U9:U13)</f>
        <v>5</v>
      </c>
      <c r="V15" s="92"/>
      <c r="W15" s="49">
        <f>S15+U15-O15</f>
        <v>1</v>
      </c>
      <c r="X15" s="56"/>
      <c r="Y15" s="56"/>
      <c r="Z15" s="49">
        <f>O15-S15-U15</f>
        <v>-1</v>
      </c>
      <c r="AA15" s="57"/>
      <c r="AB15" s="48">
        <f>IF(SUM(AB9:AB13)=S15,S15,"ERREUR")</f>
        <v>1</v>
      </c>
      <c r="AC15" s="48">
        <f>IF(SUM(AC9:AC13)=O15-S15,O15-S15,"ERREUR")</f>
        <v>4</v>
      </c>
      <c r="AE15" s="61">
        <f>SUM(AE9:AE13)</f>
        <v>100</v>
      </c>
    </row>
    <row r="16" spans="2:32" x14ac:dyDescent="0.35">
      <c r="B16" s="136">
        <f t="shared" si="6"/>
        <v>0</v>
      </c>
      <c r="C16" s="137">
        <f>IF(Classements!D30=Critères!$C$48,Critères!$B$48,IF(Classements!D30=Critères!$C$49,Critères!$B$49,IF(Classements!D30=Critères!$C$50,Critères!$B$50,IF(Classements!D30=Critères!$C$51,Critères!$B$51,IF(Classements!D30=Critères!$C$52,Critères!$B$52,0)))))</f>
        <v>0</v>
      </c>
      <c r="D16" s="33">
        <f>IF(Classements!E30=Critères!$C$48,Critères!$B$48,IF(Classements!E30=Critères!$C$49,Critères!$B$49,IF(Classements!E30=Critères!$C$50,Critères!$B$50,IF(Classements!E30=Critères!$C$51,Critères!$B$51,IF(Classements!E30=Critères!$C$52,Critères!$B$52,0)))))</f>
        <v>0</v>
      </c>
      <c r="E16" s="34">
        <f>IF(Classements!F30=Critères!$C$48,Critères!$B$48,IF(Classements!F30=Critères!$C$49,Critères!$B$49,IF(Classements!F30=Critères!$C$50,Critères!$B$50,IF(Classements!F30=Critères!$C$51,Critères!$B$51,IF(Classements!F30=Critères!$C$52,Critères!$B$52,0)))))</f>
        <v>0</v>
      </c>
      <c r="F16" s="137" t="str">
        <f t="shared" si="8"/>
        <v>-</v>
      </c>
      <c r="G16" s="46" t="str">
        <f t="shared" si="7"/>
        <v>-</v>
      </c>
      <c r="H16" s="34" t="str">
        <f t="shared" si="9"/>
        <v>-</v>
      </c>
      <c r="I16" s="136">
        <f t="shared" si="0"/>
        <v>0</v>
      </c>
      <c r="J16" s="249"/>
      <c r="K16" s="136" t="str">
        <f t="shared" si="3"/>
        <v>-</v>
      </c>
      <c r="L16" s="65" t="str">
        <f>IF(C16=0,"-",IF(B16=1,1+$J$25*0,1+$J$25*(0+I9+I10+I11+I12+I13+I14+I15)))</f>
        <v>-</v>
      </c>
      <c r="M16" s="43"/>
    </row>
    <row r="17" spans="2:32" x14ac:dyDescent="0.35">
      <c r="B17" s="136">
        <f t="shared" si="6"/>
        <v>0</v>
      </c>
      <c r="C17" s="137">
        <f>IF(Classements!D29=Critères!$C$48,Critères!$B$48,IF(Classements!D29=Critères!$C$49,Critères!$B$49,IF(Classements!D29=Critères!$C$50,Critères!$B$50,IF(Classements!D29=Critères!$C$51,Critères!$B$51,IF(Classements!D29=Critères!$C$52,Critères!$B$52,0)))))</f>
        <v>0</v>
      </c>
      <c r="D17" s="33">
        <f>IF(Classements!E29=Critères!$C$48,Critères!$B$48,IF(Classements!E29=Critères!$C$49,Critères!$B$49,IF(Classements!E29=Critères!$C$50,Critères!$B$50,IF(Classements!E29=Critères!$C$51,Critères!$B$51,IF(Classements!E29=Critères!$C$52,Critères!$B$52,0)))))</f>
        <v>0</v>
      </c>
      <c r="E17" s="34">
        <f>IF(Classements!F29=Critères!$C$48,Critères!$B$48,IF(Classements!F29=Critères!$C$49,Critères!$B$49,IF(Classements!F29=Critères!$C$50,Critères!$B$50,IF(Classements!F29=Critères!$C$51,Critères!$B$51,IF(Classements!F29=Critères!$C$52,Critères!$B$52,0)))))</f>
        <v>0</v>
      </c>
      <c r="F17" s="137" t="str">
        <f t="shared" si="8"/>
        <v>-</v>
      </c>
      <c r="G17" s="46" t="str">
        <f t="shared" si="7"/>
        <v>-</v>
      </c>
      <c r="H17" s="34" t="str">
        <f>IF(OR(G16=0,G16="-"),G17,0)</f>
        <v>-</v>
      </c>
      <c r="I17" s="136">
        <f t="shared" si="0"/>
        <v>0</v>
      </c>
      <c r="J17" s="249"/>
      <c r="K17" s="136" t="str">
        <f t="shared" si="3"/>
        <v>-</v>
      </c>
      <c r="L17" s="65" t="str">
        <f>IF(C17=0,"-",IF(B17=1,1+$J$25*0,1+$J$25*(0+I9+I10+I11+I12+I13+I14+I15+I16)))</f>
        <v>-</v>
      </c>
      <c r="M17" s="43"/>
    </row>
    <row r="18" spans="2:32" x14ac:dyDescent="0.35">
      <c r="B18" s="136">
        <f t="shared" si="6"/>
        <v>1</v>
      </c>
      <c r="C18" s="137" t="str">
        <f>IF(Classements!D28=Critères!$C$48,Critères!$B$48,IF(Classements!D28=Critères!$C$49,Critères!$B$49,IF(Classements!D28=Critères!$C$50,Critères!$B$50,IF(Classements!D28=Critères!$C$51,Critères!$B$51,IF(Classements!D28=Critères!$C$52,Critères!$B$52,0)))))</f>
        <v>g1.3</v>
      </c>
      <c r="D18" s="33">
        <f>IF(Classements!E28=Critères!$C$48,Critères!$B$48,IF(Classements!E28=Critères!$C$49,Critères!$B$49,IF(Classements!E28=Critères!$C$50,Critères!$B$50,IF(Classements!E28=Critères!$C$51,Critères!$B$51,IF(Classements!E28=Critères!$C$52,Critères!$B$52,0)))))</f>
        <v>0</v>
      </c>
      <c r="E18" s="34">
        <f>IF(Classements!F28=Critères!$C$48,Critères!$B$48,IF(Classements!F28=Critères!$C$49,Critères!$B$49,IF(Classements!F28=Critères!$C$50,Critères!$B$50,IF(Classements!F28=Critères!$C$51,Critères!$B$51,IF(Classements!F28=Critères!$C$52,Critères!$B$52,0)))))</f>
        <v>0</v>
      </c>
      <c r="F18" s="137">
        <f t="shared" si="8"/>
        <v>1</v>
      </c>
      <c r="G18" s="46">
        <f t="shared" si="7"/>
        <v>1</v>
      </c>
      <c r="H18" s="34">
        <f>IF(OR(G17=0,G17="-"),G18,0)</f>
        <v>1</v>
      </c>
      <c r="I18" s="136">
        <f t="shared" si="0"/>
        <v>2</v>
      </c>
      <c r="J18" s="249"/>
      <c r="K18" s="136">
        <f t="shared" si="3"/>
        <v>1</v>
      </c>
      <c r="L18" s="65">
        <f>IF(C18=0,"-",IF(B18=1,1+$J$25*0,1+$J$25*(0+I9+I10+I11+I12+I13+I14+I15+I16+I17)))</f>
        <v>1</v>
      </c>
      <c r="M18" s="43"/>
    </row>
    <row r="19" spans="2:32" x14ac:dyDescent="0.35">
      <c r="B19" s="136">
        <f t="shared" si="6"/>
        <v>2</v>
      </c>
      <c r="C19" s="137">
        <f>IF(Classements!D27=Critères!$C$48,Critères!$B$48,IF(Classements!D27=Critères!$C$49,Critères!$B$49,IF(Classements!D27=Critères!$C$50,Critères!$B$50,IF(Classements!D27=Critères!$C$51,Critères!$B$51,IF(Classements!D27=Critères!$C$52,Critères!$B$52,0)))))</f>
        <v>0</v>
      </c>
      <c r="D19" s="33">
        <f>IF(Classements!E27=Critères!$C$48,Critères!$B$48,IF(Classements!E27=Critères!$C$49,Critères!$B$49,IF(Classements!E27=Critères!$C$50,Critères!$B$50,IF(Classements!E27=Critères!$C$51,Critères!$B$51,IF(Classements!E27=Critères!$C$52,Critères!$B$52,0)))))</f>
        <v>0</v>
      </c>
      <c r="E19" s="34">
        <f>IF(Classements!F27=Critères!$C$48,Critères!$B$48,IF(Classements!F27=Critères!$C$49,Critères!$B$49,IF(Classements!F27=Critères!$C$50,Critères!$B$50,IF(Classements!F27=Critères!$C$51,Critères!$B$51,IF(Classements!F27=Critères!$C$52,Critères!$B$52,0)))))</f>
        <v>0</v>
      </c>
      <c r="F19" s="137">
        <f t="shared" si="8"/>
        <v>0</v>
      </c>
      <c r="G19" s="46">
        <f t="shared" si="7"/>
        <v>0</v>
      </c>
      <c r="H19" s="34">
        <f t="shared" si="9"/>
        <v>0</v>
      </c>
      <c r="I19" s="136">
        <f t="shared" si="0"/>
        <v>1</v>
      </c>
      <c r="J19" s="249"/>
      <c r="K19" s="136" t="str">
        <f t="shared" si="3"/>
        <v>-</v>
      </c>
      <c r="L19" s="65" t="str">
        <f>IF(C19=0,"-",IF(B19=1,1+$J$25*0,1+$J$25*(0+I9+I10+I11+I12+I13+I14+I15+I16+I17+I18)))</f>
        <v>-</v>
      </c>
      <c r="M19" s="43"/>
      <c r="N19" s="43"/>
      <c r="O19" s="43"/>
      <c r="R19" s="54"/>
      <c r="Z19" s="33"/>
      <c r="AA19" s="33"/>
    </row>
    <row r="20" spans="2:32" x14ac:dyDescent="0.35">
      <c r="B20" s="136">
        <f t="shared" si="6"/>
        <v>3</v>
      </c>
      <c r="C20" s="137" t="str">
        <f>IF(Classements!D26=Critères!$C$48,Critères!$B$48,IF(Classements!D26=Critères!$C$49,Critères!$B$49,IF(Classements!D26=Critères!$C$50,Critères!$B$50,IF(Classements!D26=Critères!$C$51,Critères!$B$51,IF(Classements!D26=Critères!$C$52,Critères!$B$52,0)))))</f>
        <v>g1.5</v>
      </c>
      <c r="D20" s="33">
        <f>IF(Classements!E26=Critères!$C$48,Critères!$B$48,IF(Classements!E26=Critères!$C$49,Critères!$B$49,IF(Classements!E26=Critères!$C$50,Critères!$B$50,IF(Classements!E26=Critères!$C$51,Critères!$B$51,IF(Classements!E26=Critères!$C$52,Critères!$B$52,0)))))</f>
        <v>0</v>
      </c>
      <c r="E20" s="34">
        <f>IF(Classements!F26=Critères!$C$48,Critères!$B$48,IF(Classements!F26=Critères!$C$49,Critères!$B$49,IF(Classements!F26=Critères!$C$50,Critères!$B$50,IF(Classements!F26=Critères!$C$51,Critères!$B$51,IF(Classements!F26=Critères!$C$52,Critères!$B$52,0)))))</f>
        <v>0</v>
      </c>
      <c r="F20" s="137">
        <f t="shared" si="8"/>
        <v>1</v>
      </c>
      <c r="G20" s="46">
        <f t="shared" si="7"/>
        <v>1</v>
      </c>
      <c r="H20" s="34">
        <f t="shared" si="9"/>
        <v>1</v>
      </c>
      <c r="I20" s="136">
        <f t="shared" si="0"/>
        <v>2</v>
      </c>
      <c r="J20" s="249"/>
      <c r="K20" s="136">
        <f t="shared" si="3"/>
        <v>1</v>
      </c>
      <c r="L20" s="65">
        <f>IF(C20=0,"-",IF(B20=1,1+$J$25*0,1+$J$25*(0+I9+I10+I11+I12+I13+I14+I15+I16+I17+I18+I19)))</f>
        <v>2.5</v>
      </c>
      <c r="M20" s="43"/>
      <c r="N20" s="43"/>
      <c r="O20" s="43"/>
      <c r="P20" s="46"/>
      <c r="R20" s="69"/>
      <c r="Z20" s="43"/>
      <c r="AA20" s="43"/>
    </row>
    <row r="21" spans="2:32" x14ac:dyDescent="0.35">
      <c r="B21" s="136">
        <f t="shared" si="6"/>
        <v>4</v>
      </c>
      <c r="C21" s="137">
        <f>IF(Classements!D25=Critères!$C$48,Critères!$B$48,IF(Classements!D25=Critères!$C$49,Critères!$B$49,IF(Classements!D25=Critères!$C$50,Critères!$B$50,IF(Classements!D25=Critères!$C$51,Critères!$B$51,IF(Classements!D25=Critères!$C$52,Critères!$B$52,0)))))</f>
        <v>0</v>
      </c>
      <c r="D21" s="33">
        <f>IF(Classements!E25=Critères!$C$48,Critères!$B$48,IF(Classements!E25=Critères!$C$49,Critères!$B$49,IF(Classements!E25=Critères!$C$50,Critères!$B$50,IF(Classements!E25=Critères!$C$51,Critères!$B$51,IF(Classements!E25=Critères!$C$52,Critères!$B$52,0)))))</f>
        <v>0</v>
      </c>
      <c r="E21" s="34">
        <f>IF(Classements!F25=Critères!$C$48,Critères!$B$48,IF(Classements!F25=Critères!$C$49,Critères!$B$49,IF(Classements!F25=Critères!$C$50,Critères!$B$50,IF(Classements!F25=Critères!$C$51,Critères!$B$51,IF(Classements!F25=Critères!$C$52,Critères!$B$52,0)))))</f>
        <v>0</v>
      </c>
      <c r="F21" s="137">
        <f t="shared" si="8"/>
        <v>0</v>
      </c>
      <c r="G21" s="46">
        <f t="shared" si="7"/>
        <v>0</v>
      </c>
      <c r="H21" s="34">
        <f t="shared" si="9"/>
        <v>0</v>
      </c>
      <c r="I21" s="136">
        <f>IF(H21="-",0,H21+1)</f>
        <v>1</v>
      </c>
      <c r="J21" s="249"/>
      <c r="K21" s="136" t="str">
        <f t="shared" si="3"/>
        <v>-</v>
      </c>
      <c r="L21" s="65" t="str">
        <f>IF(C21=0,"-",IF(B21=1,1+$J$25*0,1+$J$25*(0+I9+I10+I11+I12+I13+I14+I15+I16+I17+I18+I19+I20)))</f>
        <v>-</v>
      </c>
      <c r="M21" s="43"/>
      <c r="N21" s="43"/>
      <c r="O21" s="43"/>
      <c r="Q21" s="32"/>
      <c r="S21" s="54"/>
      <c r="W21" s="46"/>
      <c r="X21" s="46"/>
      <c r="Y21" s="46"/>
      <c r="Z21" s="43"/>
      <c r="AA21" s="43"/>
    </row>
    <row r="22" spans="2:32" x14ac:dyDescent="0.35">
      <c r="B22" s="136">
        <f t="shared" si="6"/>
        <v>5</v>
      </c>
      <c r="C22" s="137" t="str">
        <f>IF(Classements!D24=Critères!$C$48,Critères!$B$48,IF(Classements!D24=Critères!$C$49,Critères!$B$49,IF(Classements!D24=Critères!$C$50,Critères!$B$50,IF(Classements!D24=Critères!$C$51,Critères!$B$51,IF(Classements!D24=Critères!$C$52,Critères!$B$52,0)))))</f>
        <v>g1.2</v>
      </c>
      <c r="D22" s="33">
        <f>IF(Classements!E24=Critères!$C$48,Critères!$B$48,IF(Classements!E24=Critères!$C$49,Critères!$B$49,IF(Classements!E24=Critères!$C$50,Critères!$B$50,IF(Classements!E24=Critères!$C$51,Critères!$B$51,IF(Classements!E24=Critères!$C$52,Critères!$B$52,0)))))</f>
        <v>0</v>
      </c>
      <c r="E22" s="34">
        <f>IF(Classements!F24=Critères!$C$48,Critères!$B$48,IF(Classements!F24=Critères!$C$49,Critères!$B$49,IF(Classements!F24=Critères!$C$50,Critères!$B$50,IF(Classements!F24=Critères!$C$51,Critères!$B$51,IF(Classements!F24=Critères!$C$52,Critères!$B$52,0)))))</f>
        <v>0</v>
      </c>
      <c r="F22" s="137">
        <f t="shared" si="8"/>
        <v>0</v>
      </c>
      <c r="G22" s="46">
        <f>IF(F22="-","-",IF(F22=0,0,IF(G23&lt;&gt;0,G23+F22,F22)))</f>
        <v>0</v>
      </c>
      <c r="H22" s="34">
        <f>IF(OR(G21=0,G21="-"),G22,0)</f>
        <v>0</v>
      </c>
      <c r="I22" s="136">
        <f>IF(H22="-",0,H22+1)</f>
        <v>1</v>
      </c>
      <c r="J22" s="249"/>
      <c r="K22" s="136">
        <f t="shared" si="3"/>
        <v>1</v>
      </c>
      <c r="L22" s="65">
        <f>IF(C22=0,"-",IF(B22=1,1+$J$25*0,1+$J$25*(0+I9+I10+I11+I12+I13+I14+I15+I16+I17+I18+I19+I20+I21)))</f>
        <v>4</v>
      </c>
      <c r="M22" s="43"/>
      <c r="N22" s="43"/>
      <c r="S22" s="33"/>
      <c r="T22" s="43"/>
      <c r="W22" s="43"/>
      <c r="X22" s="43"/>
      <c r="Y22" s="43"/>
    </row>
    <row r="23" spans="2:32" x14ac:dyDescent="0.35">
      <c r="B23" s="139">
        <f t="shared" si="6"/>
        <v>6</v>
      </c>
      <c r="C23" s="138" t="str">
        <f>IF(Classements!D23=Critères!$C$48,Critères!$B$48,IF(Classements!D23=Critères!$C$49,Critères!$B$49,IF(Classements!D23=Critères!$C$50,Critères!$B$50,IF(Classements!D23=Critères!$C$51,Critères!$B$51,IF(Classements!D23=Critères!$C$52,Critères!$B$52,0)))))</f>
        <v>g1.1</v>
      </c>
      <c r="D23" s="35" t="str">
        <f>IF(Classements!E23=Critères!$C$48,Critères!$B$48,IF(Classements!E23=Critères!$C$49,Critères!$B$49,IF(Classements!E23=Critères!$C$50,Critères!$B$50,IF(Classements!E23=Critères!$C$51,Critères!$B$51,IF(Classements!E23=Critères!$C$52,Critères!$B$52,0)))))</f>
        <v>g1.4</v>
      </c>
      <c r="E23" s="47">
        <f>IF(Classements!F23=Critères!$C$48,Critères!$B$48,IF(Classements!F23=Critères!$C$49,Critères!$B$49,IF(Classements!F23=Critères!$C$50,Critères!$B$50,IF(Classements!F23=Critères!$C$51,Critères!$B$51,IF(Classements!F23=Critères!$C$52,Critères!$B$52,0)))))</f>
        <v>0</v>
      </c>
      <c r="F23" s="138">
        <f>IF(B23=0,"-",IF(D25=0,1,0))</f>
        <v>0</v>
      </c>
      <c r="G23" s="35">
        <f>0</f>
        <v>0</v>
      </c>
      <c r="H23" s="47">
        <f>G23</f>
        <v>0</v>
      </c>
      <c r="I23" s="139">
        <f>IF(H23="-",0,H23+1)</f>
        <v>1</v>
      </c>
      <c r="J23" s="250"/>
      <c r="K23" s="139">
        <f t="shared" si="3"/>
        <v>2</v>
      </c>
      <c r="L23" s="74">
        <f>IF(C23=0,"-",IF(B23=1,1+$J$25*0,1+$J$25*(0+I9+I10+I11+I12+I13+I14+I15+I16+I17+I18+I19+I20+I21+I22)))</f>
        <v>4.5</v>
      </c>
      <c r="M23" s="43"/>
      <c r="N23" s="43"/>
      <c r="Q23" s="91"/>
      <c r="S23" s="33"/>
      <c r="W23" s="43"/>
      <c r="X23" s="43"/>
      <c r="Y23" s="43"/>
    </row>
    <row r="24" spans="2:32" x14ac:dyDescent="0.35">
      <c r="B24" s="46"/>
      <c r="D24" s="33" t="s">
        <v>124</v>
      </c>
      <c r="E24" s="62"/>
      <c r="F24" s="46"/>
      <c r="G24" s="46"/>
      <c r="H24" s="46"/>
      <c r="I24" s="46" t="s">
        <v>106</v>
      </c>
      <c r="J24" s="46" t="s">
        <v>105</v>
      </c>
      <c r="K24" s="46"/>
      <c r="L24" s="39"/>
      <c r="O24" s="43"/>
      <c r="Q24" s="90"/>
      <c r="R24" s="54"/>
      <c r="S24" s="33"/>
      <c r="T24" s="33"/>
      <c r="W24" s="43"/>
      <c r="X24" s="43"/>
      <c r="Y24" s="43"/>
      <c r="Z24" s="43"/>
      <c r="AA24" s="43"/>
    </row>
    <row r="25" spans="2:32" x14ac:dyDescent="0.35">
      <c r="C25" s="4"/>
      <c r="D25" s="36">
        <f>COUNTIF(C9:E23,"&lt;&gt;0")</f>
        <v>5</v>
      </c>
      <c r="E25" s="54"/>
      <c r="I25" s="36">
        <f>SUM(I9:I23)</f>
        <v>8</v>
      </c>
      <c r="J25" s="37">
        <f>(J9-1)/I25</f>
        <v>0.5</v>
      </c>
      <c r="K25" s="46"/>
      <c r="L25" s="46"/>
      <c r="O25" s="43"/>
      <c r="Q25" s="60"/>
      <c r="R25" s="54"/>
      <c r="S25" s="54"/>
      <c r="T25" s="33"/>
      <c r="Z25" s="43"/>
      <c r="AA25" s="43"/>
    </row>
    <row r="26" spans="2:32" ht="15" thickBot="1" x14ac:dyDescent="0.4">
      <c r="O26" s="43"/>
      <c r="Q26" s="32"/>
      <c r="R26" s="43"/>
      <c r="S26" s="43"/>
      <c r="T26" s="43"/>
      <c r="Z26" s="43"/>
      <c r="AA26" s="43"/>
    </row>
    <row r="27" spans="2:32" ht="24.5" thickTop="1" thickBot="1" x14ac:dyDescent="0.4">
      <c r="B27" s="271" t="s">
        <v>150</v>
      </c>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3"/>
    </row>
    <row r="28" spans="2:32" ht="15.5" thickTop="1" thickBot="1" x14ac:dyDescent="0.4">
      <c r="O28" s="43"/>
      <c r="Q28" s="32"/>
      <c r="R28" s="43"/>
      <c r="S28" s="43"/>
      <c r="T28" s="43"/>
      <c r="Z28" s="43"/>
      <c r="AA28" s="43"/>
    </row>
    <row r="29" spans="2:32" x14ac:dyDescent="0.35">
      <c r="B29" s="257" t="s">
        <v>95</v>
      </c>
      <c r="C29" s="259" t="s">
        <v>0</v>
      </c>
      <c r="D29" s="260"/>
      <c r="E29" s="261"/>
      <c r="F29" s="259" t="s">
        <v>99</v>
      </c>
      <c r="G29" s="260"/>
      <c r="H29" s="261"/>
      <c r="I29" s="257" t="s">
        <v>98</v>
      </c>
      <c r="J29" s="257" t="s">
        <v>48</v>
      </c>
      <c r="K29" s="257" t="s">
        <v>100</v>
      </c>
      <c r="L29" s="253" t="s">
        <v>104</v>
      </c>
      <c r="O29" s="253" t="s">
        <v>0</v>
      </c>
      <c r="P29" s="253" t="s">
        <v>104</v>
      </c>
      <c r="Q29" s="253" t="s">
        <v>101</v>
      </c>
      <c r="R29" s="253" t="s">
        <v>102</v>
      </c>
      <c r="S29" s="253" t="s">
        <v>103</v>
      </c>
      <c r="T29" s="253" t="s">
        <v>123</v>
      </c>
      <c r="U29" s="253" t="s">
        <v>111</v>
      </c>
      <c r="V29" s="253" t="s">
        <v>143</v>
      </c>
      <c r="W29" s="257" t="s">
        <v>117</v>
      </c>
      <c r="X29" s="251" t="s">
        <v>128</v>
      </c>
      <c r="Y29" s="253" t="s">
        <v>144</v>
      </c>
      <c r="Z29" s="257" t="s">
        <v>126</v>
      </c>
      <c r="AA29" s="251" t="s">
        <v>127</v>
      </c>
      <c r="AB29" s="253" t="s">
        <v>112</v>
      </c>
      <c r="AC29" s="253" t="s">
        <v>113</v>
      </c>
      <c r="AD29" s="46"/>
      <c r="AE29" s="255" t="s">
        <v>129</v>
      </c>
    </row>
    <row r="30" spans="2:32" ht="15" thickBot="1" x14ac:dyDescent="0.4">
      <c r="B30" s="258"/>
      <c r="C30" s="262"/>
      <c r="D30" s="263"/>
      <c r="E30" s="264"/>
      <c r="F30" s="265"/>
      <c r="G30" s="266"/>
      <c r="H30" s="267"/>
      <c r="I30" s="258"/>
      <c r="J30" s="258"/>
      <c r="K30" s="252"/>
      <c r="L30" s="268"/>
      <c r="O30" s="254"/>
      <c r="P30" s="268"/>
      <c r="Q30" s="268"/>
      <c r="R30" s="268"/>
      <c r="S30" s="268"/>
      <c r="T30" s="268"/>
      <c r="U30" s="268"/>
      <c r="V30" s="268"/>
      <c r="W30" s="258"/>
      <c r="X30" s="270"/>
      <c r="Y30" s="254"/>
      <c r="Z30" s="258"/>
      <c r="AA30" s="270"/>
      <c r="AB30" s="254"/>
      <c r="AC30" s="254"/>
      <c r="AD30" s="46"/>
      <c r="AE30" s="256"/>
    </row>
    <row r="31" spans="2:32" ht="16.5" customHeight="1" x14ac:dyDescent="0.35">
      <c r="B31" s="135">
        <f>IF(C31=0,0,1)</f>
        <v>0</v>
      </c>
      <c r="C31" s="63">
        <f>IF(Classements!D61=Critères!$C$53,Critères!$B$53,IF(Classements!D61=Critères!$C$54,Critères!$B$54,IF(Classements!D61=Critères!$C$55,Critères!$B$55,IF(Classements!D61=Critères!$C$56,Critères!$B$56,0))))</f>
        <v>0</v>
      </c>
      <c r="D31" s="59">
        <f>IF(Classements!E61=Critères!$C$53,Critères!$B$53,IF(Classements!E61=Critères!$C$54,Critères!$B$54,IF(Classements!E61=Critères!$C$55,Critères!$B$55,IF(Classements!E61=Critères!$C$56,Critères!$B$56,0))))</f>
        <v>0</v>
      </c>
      <c r="E31" s="64">
        <f>IF(Classements!F61=Critères!$C$53,Critères!$B$53,IF(Classements!F61=Critères!$C$54,Critères!$B$54,IF(Classements!F61=Critères!$C$55,Critères!$B$55,IF(Classements!F61=Critères!$C$56,Critères!$B$56,0))))</f>
        <v>0</v>
      </c>
      <c r="F31" s="46" t="str">
        <f>IF(B31=0,"-",IF(C32=0,1,0))</f>
        <v>-</v>
      </c>
      <c r="G31" s="46" t="str">
        <f>IF(F31="-","-",IF(F31=0,0,IF(G32&lt;&gt;0,G32+F31,F31)))</f>
        <v>-</v>
      </c>
      <c r="H31" s="34" t="str">
        <f>IF(OR(G30=0,G30="-"),G31,0)</f>
        <v>-</v>
      </c>
      <c r="I31" s="53">
        <f>IF(H31="-",0,H31+1)</f>
        <v>0</v>
      </c>
      <c r="J31" s="249">
        <f>Classements!D63</f>
        <v>4</v>
      </c>
      <c r="K31" s="135" t="str">
        <f>IF(C31=0,"-",IF(D31=0,1,IF(E31=0,2,3)))</f>
        <v>-</v>
      </c>
      <c r="L31" s="73" t="str">
        <f>IF(C31=0,"-",1+$J$47*0)</f>
        <v>-</v>
      </c>
      <c r="M31" s="43"/>
      <c r="N31" s="72">
        <v>1</v>
      </c>
      <c r="O31" s="51" t="s">
        <v>130</v>
      </c>
      <c r="P31" s="40">
        <f>INDEX($L$31:$L$45,coord($C$31:$E$45,O31))</f>
        <v>2</v>
      </c>
      <c r="Q31" s="40">
        <f>(100/$P$36)*P31</f>
        <v>28.571428571428573</v>
      </c>
      <c r="R31" s="66">
        <f>TRUNC(Q31,$Q$36)</f>
        <v>28.57</v>
      </c>
      <c r="S31" s="41">
        <f>(10^(-$Q$36)-(Q31-R31))/Q31</f>
        <v>2.9999999999995666E-4</v>
      </c>
      <c r="T31" s="40">
        <f>(Q31-R31)/Q31</f>
        <v>5.0000000000043343E-5</v>
      </c>
      <c r="U31" s="53">
        <f>IF(S31&gt;T31,1,0)</f>
        <v>1</v>
      </c>
      <c r="V31" s="51">
        <f>IF(U31=1,S31,"")</f>
        <v>2.9999999999995666E-4</v>
      </c>
      <c r="W31" s="41" cm="1">
        <f t="array" ref="W31">IF(U36+S36&gt;O36,IF(W36=1,SMALL(V31:V34,{1}),IF(W36=2,SMALL(V31:V34,{1;2}),IF(W36=3,SMALL(V31:V34,{1;2;3}),IF(W36=4,SMALL(V31:V34,{1;2;3;4}),IF(W36=5,SMALL(V31:V34,{1;2;3;4;5}),IF(W36=6,SMALL(V31:V34,{1;2;3;4;5;6}),IF(W36=7,SMALL(V31:V34,{1;2;3;4;5;6;7}),IF(W36=8,SMALL(V31:V34,{1;2;3;4;5;6;7;8}))))))))),0)</f>
        <v>0</v>
      </c>
      <c r="X31" s="72">
        <f>IF(COUNTIF($W$31:$W$34,S31)&lt;&gt;0,1,0)</f>
        <v>0</v>
      </c>
      <c r="Y31" s="40" t="str">
        <f>IF(U31=0,T31,"")</f>
        <v/>
      </c>
      <c r="Z31" s="65" cm="1">
        <f t="array" ref="Z31">IF(U36+S36&lt;O36,IF(Z36=1,SMALL(Y31:Y34,{1}),IF(Z36=2,SMALL(Y31:Y34,{1;2}),IF(Z36=3,SMALL(Y31:Y34,{1;2;3}),IF(Z36=4,SMALL(Y31:Y34,{1;2;3;4}),IF(Z36=5,SMALL(Y31:Y34,{1;2;3;4;5}),IF(Z36=6,SMALL(Y31:Y34,{1;2;3;4;5;6}),IF(Z36=7,SMALL(Y31:Y34,{1;2;3;4;5;6;7}),IF(Z36=8,SMALL(Y31:Y34,{1;2;3;4;5;6;7;8}))))))))),0)</f>
        <v>1.6666666666672824E-4</v>
      </c>
      <c r="AA31" s="72">
        <f>IF(COUNTIF($Z$31:$Z$34,T31)&lt;&gt;0,1,0)</f>
        <v>0</v>
      </c>
      <c r="AB31" s="51">
        <f>IF($U$36+$S$36&gt;$O$36,IF(U31=0,1,IF(X31=1,1,0)),IF(AC31=1,0,1))</f>
        <v>0</v>
      </c>
      <c r="AC31" s="51">
        <f>IF($U$36+$S$36&lt;=$O$36,IF(U31=1,1,IF(AA31=1,1,0)),IF(AB31=1,0,1))</f>
        <v>1</v>
      </c>
      <c r="AD31" s="46"/>
      <c r="AE31" s="94">
        <f>IF(AND(AB31=0,AC31=1),ROUNDDOWN(Q31,$Q$36),ROUNDUP(Q31,$Q$36))</f>
        <v>28.57</v>
      </c>
    </row>
    <row r="32" spans="2:32" ht="14.5" customHeight="1" x14ac:dyDescent="0.35">
      <c r="B32" s="136">
        <f>IF(B31=0,IF(C32=0,0,1),B31+1)</f>
        <v>0</v>
      </c>
      <c r="C32" s="137">
        <f>IF(Classements!D60=Critères!$C$53,Critères!$B$53,IF(Classements!D60=Critères!$C$54,Critères!$B$54,IF(Classements!D60=Critères!$C$55,Critères!$B$55,IF(Classements!D60=Critères!$C$56,Critères!$B$56,0))))</f>
        <v>0</v>
      </c>
      <c r="D32" s="33">
        <f>IF(Classements!E60=Critères!$C$53,Critères!$B$53,IF(Classements!E60=Critères!$C$54,Critères!$B$54,IF(Classements!E60=Critères!$C$55,Critères!$B$55,IF(Classements!E60=Critères!$C$56,Critères!$B$56,0))))</f>
        <v>0</v>
      </c>
      <c r="E32" s="34">
        <f>IF(Classements!F60=Critères!$C$53,Critères!$B$53,IF(Classements!F60=Critères!$C$54,Critères!$B$54,IF(Classements!F60=Critères!$C$55,Critères!$B$55,IF(Classements!F60=Critères!$C$56,Critères!$B$56,0))))</f>
        <v>0</v>
      </c>
      <c r="F32" s="46" t="str">
        <f t="shared" ref="F32:F44" si="10">IF(B32=0,"-",IF(C33=0,1,0))</f>
        <v>-</v>
      </c>
      <c r="G32" s="46" t="str">
        <f t="shared" ref="G32:G43" si="11">IF(F32="-","-",IF(F32=0,0,IF(G33&lt;&gt;0,G33+F32,F32)))</f>
        <v>-</v>
      </c>
      <c r="H32" s="34" t="str">
        <f>IF(OR(G31=0,G31="-"),G32,0)</f>
        <v>-</v>
      </c>
      <c r="I32" s="53">
        <f>IF(H32="-",0,H32+1)</f>
        <v>0</v>
      </c>
      <c r="J32" s="249"/>
      <c r="K32" s="136" t="str">
        <f>IF(C32=0,"-",IF(D32=0,1,IF(E32=0,2,3)))</f>
        <v>-</v>
      </c>
      <c r="L32" s="65" t="str">
        <f>IF(C32=0,"-",IF(B32=1,1+$J$47*0,1+$J$47*(0+I31)))</f>
        <v>-</v>
      </c>
      <c r="M32" s="43"/>
      <c r="N32" s="58">
        <v>2</v>
      </c>
      <c r="O32" s="53" t="s">
        <v>131</v>
      </c>
      <c r="P32" s="41">
        <f>INDEX($L$31:$L$45,coord($C$31:$E$45,O32))</f>
        <v>3</v>
      </c>
      <c r="Q32" s="41">
        <f>(100/$P$36)*P32</f>
        <v>42.857142857142861</v>
      </c>
      <c r="R32" s="67">
        <f>TRUNC(Q32,$Q$36)</f>
        <v>42.85</v>
      </c>
      <c r="S32" s="41">
        <f>(10^(-$Q$36)-(Q32-R32))/Q32</f>
        <v>6.6666666666605087E-5</v>
      </c>
      <c r="T32" s="41">
        <f>(Q32-R32)/Q32</f>
        <v>1.6666666666672824E-4</v>
      </c>
      <c r="U32" s="53">
        <f>IF(S32&gt;T32,1,0)</f>
        <v>0</v>
      </c>
      <c r="V32" s="53" t="str">
        <f t="shared" ref="V32:V34" si="12">IF(U32=1,S32,"")</f>
        <v/>
      </c>
      <c r="W32" s="41"/>
      <c r="X32" s="53">
        <f>IF(COUNTIF($W$31:$W$34,S32)&lt;&gt;0,IF(SUM(X31)&gt;=W36,0,1),0)</f>
        <v>0</v>
      </c>
      <c r="Y32" s="41">
        <f>IF(U32=0,T32,"")</f>
        <v>1.6666666666672824E-4</v>
      </c>
      <c r="Z32" s="65"/>
      <c r="AA32" s="53">
        <f>IF(COUNTIF($Z$31:$Z$34,T32)&lt;&gt;0,IF(SUM(AA31)&gt;=Z36,0,1),0)</f>
        <v>1</v>
      </c>
      <c r="AB32" s="53">
        <f t="shared" ref="AB32:AB34" si="13">IF($U$36+$S$36&gt;$O$36,IF(U32=0,1,IF(X32=1,1,0)),IF(AC32=1,0,1))</f>
        <v>0</v>
      </c>
      <c r="AC32" s="53">
        <f t="shared" ref="AC32:AC34" si="14">IF($U$36+$S$36&lt;=$O$36,IF(U32=1,1,IF(AA32=1,1,0)),IF(AB32=1,0,1))</f>
        <v>1</v>
      </c>
      <c r="AD32" s="46"/>
      <c r="AE32" s="95">
        <f>IF(AND(AB32=0,AC32=1),ROUNDDOWN(Q32,$Q$36),ROUNDUP(Q32,$Q$36))</f>
        <v>42.85</v>
      </c>
    </row>
    <row r="33" spans="2:31" x14ac:dyDescent="0.35">
      <c r="B33" s="136">
        <f t="shared" ref="B33:B45" si="15">IF(B32=0,IF(C33=0,0,1),B32+1)</f>
        <v>0</v>
      </c>
      <c r="C33" s="137">
        <f>IF(Classements!D59=Critères!$C$53,Critères!$B$53,IF(Classements!D59=Critères!$C$54,Critères!$B$54,IF(Classements!D59=Critères!$C$55,Critères!$B$55,IF(Classements!D59=Critères!$C$56,Critères!$B$56,0))))</f>
        <v>0</v>
      </c>
      <c r="D33" s="33">
        <f>IF(Classements!E59=Critères!$C$53,Critères!$B$53,IF(Classements!E59=Critères!$C$54,Critères!$B$54,IF(Classements!E59=Critères!$C$55,Critères!$B$55,IF(Classements!E59=Critères!$C$56,Critères!$B$56,0))))</f>
        <v>0</v>
      </c>
      <c r="E33" s="34">
        <f>IF(Classements!F59=Critères!$C$53,Critères!$B$53,IF(Classements!F59=Critères!$C$54,Critères!$B$54,IF(Classements!F59=Critères!$C$55,Critères!$B$55,IF(Classements!F59=Critères!$C$56,Critères!$B$56,0))))</f>
        <v>0</v>
      </c>
      <c r="F33" s="46" t="str">
        <f t="shared" si="10"/>
        <v>-</v>
      </c>
      <c r="G33" s="46" t="str">
        <f t="shared" si="11"/>
        <v>-</v>
      </c>
      <c r="H33" s="34" t="str">
        <f>IF(OR(G32=0,G32="-"),G33,0)</f>
        <v>-</v>
      </c>
      <c r="I33" s="53">
        <f>IF(H33="-",0,H33+1)</f>
        <v>0</v>
      </c>
      <c r="J33" s="249"/>
      <c r="K33" s="136" t="str">
        <f>IF(C33=0,"-",IF(D33=0,1,IF(E33=0,2,3)))</f>
        <v>-</v>
      </c>
      <c r="L33" s="65" t="str">
        <f>IF(C33=0,"-",IF(B33=1,1+$J$47*0,1+$J$47*(0+I32+I31)))</f>
        <v>-</v>
      </c>
      <c r="M33" s="43"/>
      <c r="N33" s="58">
        <v>3</v>
      </c>
      <c r="O33" s="53" t="s">
        <v>132</v>
      </c>
      <c r="P33" s="41">
        <f>INDEX($L$31:$L$45,coord($C$31:$E$45,O33))</f>
        <v>1</v>
      </c>
      <c r="Q33" s="41">
        <f>(100/$P$36)*P33</f>
        <v>14.285714285714286</v>
      </c>
      <c r="R33" s="67">
        <f>TRUNC(Q33,$Q$36)</f>
        <v>14.28</v>
      </c>
      <c r="S33" s="41">
        <f>(10^(-$Q$36)-(Q33-R33))/Q33</f>
        <v>2.9999999999990196E-4</v>
      </c>
      <c r="T33" s="41">
        <f>(Q33-R33)/Q33</f>
        <v>4.0000000000009803E-4</v>
      </c>
      <c r="U33" s="53">
        <f>IF(S33&gt;T33,1,0)</f>
        <v>0</v>
      </c>
      <c r="V33" s="53" t="str">
        <f t="shared" si="12"/>
        <v/>
      </c>
      <c r="W33" s="41"/>
      <c r="X33" s="53">
        <f>IF(COUNTIF($W$31:$W$34,S33)&lt;&gt;0,IF(SUM(X31:X32)&gt;=W36,0,1),0)</f>
        <v>0</v>
      </c>
      <c r="Y33" s="41">
        <f>IF(U33=0,T33,"")</f>
        <v>4.0000000000009803E-4</v>
      </c>
      <c r="Z33" s="65"/>
      <c r="AA33" s="53">
        <f>IF(COUNTIF($Z$31:$Z$34,T33)&lt;&gt;0,IF(SUM(AA31:AA32)&gt;=Z36,0,1),0)</f>
        <v>0</v>
      </c>
      <c r="AB33" s="53">
        <f t="shared" si="13"/>
        <v>1</v>
      </c>
      <c r="AC33" s="53">
        <f t="shared" si="14"/>
        <v>0</v>
      </c>
      <c r="AD33" s="46"/>
      <c r="AE33" s="95">
        <f>IF(AND(AB33=0,AC33=1),ROUNDDOWN(Q33,$Q$36),ROUNDUP(Q33,$Q$36))</f>
        <v>14.29</v>
      </c>
    </row>
    <row r="34" spans="2:31" ht="15" thickBot="1" x14ac:dyDescent="0.4">
      <c r="B34" s="136">
        <f t="shared" si="15"/>
        <v>0</v>
      </c>
      <c r="C34" s="137">
        <f>IF(Classements!D58=Critères!$C$53,Critères!$B$53,IF(Classements!D58=Critères!$C$54,Critères!$B$54,IF(Classements!D58=Critères!$C$55,Critères!$B$55,IF(Classements!D58=Critères!$C$56,Critères!$B$56,0))))</f>
        <v>0</v>
      </c>
      <c r="D34" s="33">
        <f>IF(Classements!E58=Critères!$C$53,Critères!$B$53,IF(Classements!E58=Critères!$C$54,Critères!$B$54,IF(Classements!E58=Critères!$C$55,Critères!$B$55,IF(Classements!E58=Critères!$C$56,Critères!$B$56,0))))</f>
        <v>0</v>
      </c>
      <c r="E34" s="34">
        <f>IF(Classements!F58=Critères!$C$53,Critères!$B$53,IF(Classements!F58=Critères!$C$54,Critères!$B$54,IF(Classements!F58=Critères!$C$55,Critères!$B$55,IF(Classements!F58=Critères!$C$56,Critères!$B$56,0))))</f>
        <v>0</v>
      </c>
      <c r="F34" s="46" t="str">
        <f t="shared" si="10"/>
        <v>-</v>
      </c>
      <c r="G34" s="46" t="str">
        <f t="shared" si="11"/>
        <v>-</v>
      </c>
      <c r="H34" s="34" t="str">
        <f t="shared" ref="H34:H43" si="16">IF(OR(G33=0,G33="-"),G34,0)</f>
        <v>-</v>
      </c>
      <c r="I34" s="53">
        <f>IF(H34="-",0,H34+1)</f>
        <v>0</v>
      </c>
      <c r="J34" s="249"/>
      <c r="K34" s="136" t="str">
        <f>IF(C34=0,"-",IF(D34=0,1,IF(E34=0,2,3)))</f>
        <v>-</v>
      </c>
      <c r="L34" s="65" t="str">
        <f>IF(C34=0,"-",IF(B34=1,1+$J$47*0,1+$J$47*(0+I33+I32+I31)))</f>
        <v>-</v>
      </c>
      <c r="M34" s="43"/>
      <c r="N34" s="55">
        <v>4</v>
      </c>
      <c r="O34" s="52" t="s">
        <v>133</v>
      </c>
      <c r="P34" s="42">
        <f>INDEX($L$31:$L$45,coord($C$31:$E$45,O34))</f>
        <v>1</v>
      </c>
      <c r="Q34" s="42">
        <f>(100/$P$36)*P34</f>
        <v>14.285714285714286</v>
      </c>
      <c r="R34" s="68">
        <f>TRUNC(Q34,$Q$36)</f>
        <v>14.28</v>
      </c>
      <c r="S34" s="42">
        <f>(10^(-$Q$36)-(Q34-R34))/Q34</f>
        <v>2.9999999999990196E-4</v>
      </c>
      <c r="T34" s="42">
        <f>(Q34-R34)/Q34</f>
        <v>4.0000000000009803E-4</v>
      </c>
      <c r="U34" s="52">
        <f>IF(S34&gt;T34,1,0)</f>
        <v>0</v>
      </c>
      <c r="V34" s="52" t="str">
        <f t="shared" si="12"/>
        <v/>
      </c>
      <c r="W34" s="42"/>
      <c r="X34" s="52">
        <f>IF(COUNTIF($W$31:$W$34,S34)&lt;&gt;0,IF(SUM(X31:X33)&gt;=W36,0,1),0)</f>
        <v>0</v>
      </c>
      <c r="Y34" s="42">
        <f>IF(U34=0,T34,"")</f>
        <v>4.0000000000009803E-4</v>
      </c>
      <c r="Z34" s="74"/>
      <c r="AA34" s="52">
        <f>IF(COUNTIF($Z$31:$Z$34,T34)&lt;&gt;0,IF(SUM(AA31:AA33)&gt;=Z36,0,1),0)</f>
        <v>0</v>
      </c>
      <c r="AB34" s="52">
        <f t="shared" si="13"/>
        <v>1</v>
      </c>
      <c r="AC34" s="52">
        <f t="shared" si="14"/>
        <v>0</v>
      </c>
      <c r="AD34" s="46"/>
      <c r="AE34" s="96">
        <f>IF(AND(AB34=0,AC34=1),ROUNDDOWN(Q34,$Q$36),ROUNDUP(Q34,$Q$36))</f>
        <v>14.29</v>
      </c>
    </row>
    <row r="35" spans="2:31" ht="15" thickBot="1" x14ac:dyDescent="0.4">
      <c r="B35" s="136">
        <f t="shared" si="15"/>
        <v>0</v>
      </c>
      <c r="C35" s="137">
        <f>IF(Classements!D57=Critères!$C$53,Critères!$B$53,IF(Classements!D57=Critères!$C$54,Critères!$B$54,IF(Classements!D57=Critères!$C$55,Critères!$B$55,IF(Classements!D57=Critères!$C$56,Critères!$B$56,0))))</f>
        <v>0</v>
      </c>
      <c r="D35" s="33">
        <f>IF(Classements!E57=Critères!$C$53,Critères!$B$53,IF(Classements!E57=Critères!$C$54,Critères!$B$54,IF(Classements!E57=Critères!$C$55,Critères!$B$55,IF(Classements!E57=Critères!$C$56,Critères!$B$56,0))))</f>
        <v>0</v>
      </c>
      <c r="E35" s="34">
        <f>IF(Classements!F57=Critères!$C$53,Critères!$B$53,IF(Classements!F57=Critères!$C$54,Critères!$B$54,IF(Classements!F57=Critères!$C$55,Critères!$B$55,IF(Classements!F57=Critères!$C$56,Critères!$B$56,0))))</f>
        <v>0</v>
      </c>
      <c r="F35" s="46" t="str">
        <f t="shared" si="10"/>
        <v>-</v>
      </c>
      <c r="G35" s="46" t="str">
        <f t="shared" si="11"/>
        <v>-</v>
      </c>
      <c r="H35" s="34" t="str">
        <f t="shared" si="16"/>
        <v>-</v>
      </c>
      <c r="I35" s="53">
        <f t="shared" ref="I35:I36" si="17">IF(H35="-",0,H35+1)</f>
        <v>0</v>
      </c>
      <c r="J35" s="249"/>
      <c r="K35" s="136" t="str">
        <f t="shared" ref="K35:K45" si="18">IF(C35=0,"-",IF(D35=0,1,IF(E35=0,2,3)))</f>
        <v>-</v>
      </c>
      <c r="L35" s="65" t="str">
        <f>IF(C35=0,"-",IF(B35=1,1+$J$47*0,1+$J$47*(0+I34+I33+I32+I31)))</f>
        <v>-</v>
      </c>
      <c r="M35" s="43"/>
      <c r="N35" s="43"/>
      <c r="O35" s="46" t="s">
        <v>124</v>
      </c>
      <c r="P35" s="46" t="s">
        <v>114</v>
      </c>
      <c r="Q35" s="46" t="s">
        <v>107</v>
      </c>
      <c r="R35" s="46" t="s">
        <v>108</v>
      </c>
      <c r="S35" s="59" t="s">
        <v>109</v>
      </c>
      <c r="T35" s="46"/>
      <c r="U35" s="44" t="s">
        <v>110</v>
      </c>
      <c r="V35" s="44"/>
      <c r="W35" s="46" t="s">
        <v>142</v>
      </c>
      <c r="X35" s="33"/>
      <c r="Y35" s="33"/>
      <c r="Z35" s="46" t="s">
        <v>125</v>
      </c>
      <c r="AA35" s="33"/>
      <c r="AB35" s="44" t="s">
        <v>115</v>
      </c>
      <c r="AC35" s="44" t="s">
        <v>116</v>
      </c>
      <c r="AE35" s="97"/>
    </row>
    <row r="36" spans="2:31" ht="15" thickBot="1" x14ac:dyDescent="0.4">
      <c r="B36" s="136">
        <f t="shared" si="15"/>
        <v>0</v>
      </c>
      <c r="C36" s="137">
        <f>IF(Classements!D56=Critères!$C$53,Critères!$B$53,IF(Classements!D56=Critères!$C$54,Critères!$B$54,IF(Classements!D56=Critères!$C$55,Critères!$B$55,IF(Classements!D56=Critères!$C$56,Critères!$B$56,0))))</f>
        <v>0</v>
      </c>
      <c r="D36" s="33">
        <f>IF(Classements!E56=Critères!$C$53,Critères!$B$53,IF(Classements!E56=Critères!$C$54,Critères!$B$54,IF(Classements!E56=Critères!$C$55,Critères!$B$55,IF(Classements!E56=Critères!$C$56,Critères!$B$56,0))))</f>
        <v>0</v>
      </c>
      <c r="E36" s="34">
        <f>IF(Classements!F56=Critères!$C$53,Critères!$B$53,IF(Classements!F56=Critères!$C$54,Critères!$B$54,IF(Classements!F56=Critères!$C$55,Critères!$B$55,IF(Classements!F56=Critères!$C$56,Critères!$B$56,0))))</f>
        <v>0</v>
      </c>
      <c r="F36" s="46" t="str">
        <f t="shared" si="10"/>
        <v>-</v>
      </c>
      <c r="G36" s="46" t="str">
        <f t="shared" si="11"/>
        <v>-</v>
      </c>
      <c r="H36" s="34" t="str">
        <f t="shared" si="16"/>
        <v>-</v>
      </c>
      <c r="I36" s="53">
        <f t="shared" si="17"/>
        <v>0</v>
      </c>
      <c r="J36" s="249"/>
      <c r="K36" s="136" t="str">
        <f t="shared" si="18"/>
        <v>-</v>
      </c>
      <c r="L36" s="65" t="str">
        <f>IF(C36=0,"-",IF(B36=1,1+$J$47*0,1+$J$47*(0+I35+I34+I33+I32+I31)))</f>
        <v>-</v>
      </c>
      <c r="M36" s="43"/>
      <c r="N36" s="43"/>
      <c r="O36" s="36">
        <f>COUNTIF(O31:O34,"&lt;&gt;0")</f>
        <v>4</v>
      </c>
      <c r="P36" s="37">
        <f>SUM(P31:P34)</f>
        <v>7</v>
      </c>
      <c r="Q36" s="36">
        <v>2</v>
      </c>
      <c r="R36" s="45">
        <f>SUM(R31:R34)</f>
        <v>99.98</v>
      </c>
      <c r="S36" s="70">
        <f>ROUND(10^(Q36)*(100-R36),0)</f>
        <v>2</v>
      </c>
      <c r="T36" s="50"/>
      <c r="U36" s="38">
        <f>SUM(U31:U34)</f>
        <v>1</v>
      </c>
      <c r="V36" s="92"/>
      <c r="W36" s="49">
        <f>S36+U36-O36</f>
        <v>-1</v>
      </c>
      <c r="X36" s="56"/>
      <c r="Y36" s="56"/>
      <c r="Z36" s="49">
        <f>O36-S36-U36</f>
        <v>1</v>
      </c>
      <c r="AA36" s="57"/>
      <c r="AB36" s="48">
        <f>IF(SUM(AB31:AB34)=S36,S36,"ERREUR")</f>
        <v>2</v>
      </c>
      <c r="AC36" s="48">
        <f>IF(SUM(AC31:AC34)=O36-S36,O36-S36,"ERREUR")</f>
        <v>2</v>
      </c>
      <c r="AE36" s="61">
        <f>SUM(AE31:AE34)</f>
        <v>100</v>
      </c>
    </row>
    <row r="37" spans="2:31" x14ac:dyDescent="0.35">
      <c r="B37" s="136">
        <f t="shared" si="15"/>
        <v>0</v>
      </c>
      <c r="C37" s="137">
        <f>IF(Classements!D55=Critères!$C$53,Critères!$B$53,IF(Classements!D55=Critères!$C$54,Critères!$B$54,IF(Classements!D55=Critères!$C$55,Critères!$B$55,IF(Classements!D55=Critères!$C$56,Critères!$B$56,0))))</f>
        <v>0</v>
      </c>
      <c r="D37" s="33">
        <f>IF(Classements!E55=Critères!$C$53,Critères!$B$53,IF(Classements!E55=Critères!$C$54,Critères!$B$54,IF(Classements!E55=Critères!$C$55,Critères!$B$55,IF(Classements!E55=Critères!$C$56,Critères!$B$56,0))))</f>
        <v>0</v>
      </c>
      <c r="E37" s="34">
        <f>IF(Classements!F55=Critères!$C$53,Critères!$B$53,IF(Classements!F55=Critères!$C$54,Critères!$B$54,IF(Classements!F55=Critères!$C$55,Critères!$B$55,IF(Classements!F55=Critères!$C$56,Critères!$B$56,0))))</f>
        <v>0</v>
      </c>
      <c r="F37" s="46" t="str">
        <f t="shared" si="10"/>
        <v>-</v>
      </c>
      <c r="G37" s="46" t="str">
        <f t="shared" si="11"/>
        <v>-</v>
      </c>
      <c r="H37" s="34" t="str">
        <f t="shared" si="16"/>
        <v>-</v>
      </c>
      <c r="I37" s="53">
        <f t="shared" ref="I37:I43" si="19">IF(H37="-",0,H37+1)</f>
        <v>0</v>
      </c>
      <c r="J37" s="249"/>
      <c r="K37" s="136" t="str">
        <f t="shared" si="18"/>
        <v>-</v>
      </c>
      <c r="L37" s="65" t="str">
        <f>IF(C37=0,"-",IF(B37=1,1+$J$47*0,1+$J$47*(0+I36+I35+I34+I33+I32+I31)))</f>
        <v>-</v>
      </c>
      <c r="M37" s="43"/>
      <c r="N37" s="43"/>
      <c r="O37" s="43"/>
      <c r="R37" s="59"/>
      <c r="Z37" s="33"/>
      <c r="AA37" s="33"/>
    </row>
    <row r="38" spans="2:31" x14ac:dyDescent="0.35">
      <c r="B38" s="136">
        <f t="shared" si="15"/>
        <v>0</v>
      </c>
      <c r="C38" s="137">
        <f>IF(Classements!D54=Critères!$C$53,Critères!$B$53,IF(Classements!D54=Critères!$C$54,Critères!$B$54,IF(Classements!D54=Critères!$C$55,Critères!$B$55,IF(Classements!D54=Critères!$C$56,Critères!$B$56,0))))</f>
        <v>0</v>
      </c>
      <c r="D38" s="33">
        <f>IF(Classements!E54=Critères!$C$53,Critères!$B$53,IF(Classements!E54=Critères!$C$54,Critères!$B$54,IF(Classements!E54=Critères!$C$55,Critères!$B$55,IF(Classements!E54=Critères!$C$56,Critères!$B$56,0))))</f>
        <v>0</v>
      </c>
      <c r="E38" s="34">
        <f>IF(Classements!F54=Critères!$C$53,Critères!$B$53,IF(Classements!F54=Critères!$C$54,Critères!$B$54,IF(Classements!F54=Critères!$C$55,Critères!$B$55,IF(Classements!F54=Critères!$C$56,Critères!$B$56,0))))</f>
        <v>0</v>
      </c>
      <c r="F38" s="46" t="str">
        <f t="shared" si="10"/>
        <v>-</v>
      </c>
      <c r="G38" s="46" t="str">
        <f t="shared" si="11"/>
        <v>-</v>
      </c>
      <c r="H38" s="34" t="str">
        <f t="shared" si="16"/>
        <v>-</v>
      </c>
      <c r="I38" s="53">
        <f>IF(H38="-",0,H38+1)</f>
        <v>0</v>
      </c>
      <c r="J38" s="249"/>
      <c r="K38" s="136" t="str">
        <f t="shared" si="18"/>
        <v>-</v>
      </c>
      <c r="L38" s="65" t="str">
        <f>IF(C38=0,"-",IF(B38=1,1+$J$47*0,1+$J$47*(0+I37+I36+I35+I34+I33+I32+I31)))</f>
        <v>-</v>
      </c>
      <c r="M38" s="43"/>
      <c r="N38" s="43"/>
      <c r="O38" s="43"/>
      <c r="P38" s="46"/>
      <c r="R38" s="69"/>
      <c r="Z38" s="43"/>
      <c r="AA38" s="43"/>
    </row>
    <row r="39" spans="2:31" x14ac:dyDescent="0.35">
      <c r="B39" s="136">
        <f t="shared" si="15"/>
        <v>0</v>
      </c>
      <c r="C39" s="137">
        <f>IF(Classements!D53=Critères!$C$53,Critères!$B$53,IF(Classements!D53=Critères!$C$54,Critères!$B$54,IF(Classements!D53=Critères!$C$55,Critères!$B$55,IF(Classements!D53=Critères!$C$56,Critères!$B$56,0))))</f>
        <v>0</v>
      </c>
      <c r="D39" s="33">
        <f>IF(Classements!E53=Critères!$C$53,Critères!$B$53,IF(Classements!E53=Critères!$C$54,Critères!$B$54,IF(Classements!E53=Critères!$C$55,Critères!$B$55,IF(Classements!E53=Critères!$C$56,Critères!$B$56,0))))</f>
        <v>0</v>
      </c>
      <c r="E39" s="34">
        <f>IF(Classements!F53=Critères!$C$53,Critères!$B$53,IF(Classements!F53=Critères!$C$54,Critères!$B$54,IF(Classements!F53=Critères!$C$55,Critères!$B$55,IF(Classements!F53=Critères!$C$56,Critères!$B$56,0))))</f>
        <v>0</v>
      </c>
      <c r="F39" s="46" t="str">
        <f t="shared" si="10"/>
        <v>-</v>
      </c>
      <c r="G39" s="46" t="str">
        <f t="shared" si="11"/>
        <v>-</v>
      </c>
      <c r="H39" s="34" t="str">
        <f t="shared" si="16"/>
        <v>-</v>
      </c>
      <c r="I39" s="53">
        <f>IF(H39="-",0,H39+1)</f>
        <v>0</v>
      </c>
      <c r="J39" s="249"/>
      <c r="K39" s="136" t="str">
        <f t="shared" si="18"/>
        <v>-</v>
      </c>
      <c r="L39" s="65" t="str">
        <f>IF(C39=0,"-",IF(B39=1,1+$J$47*0,1+$J$47*(0+I38+I37+I36+I35+I34+I33+I32+I31)))</f>
        <v>-</v>
      </c>
      <c r="M39" s="43"/>
      <c r="N39" s="43"/>
    </row>
    <row r="40" spans="2:31" x14ac:dyDescent="0.35">
      <c r="B40" s="136">
        <f t="shared" si="15"/>
        <v>0</v>
      </c>
      <c r="C40" s="137">
        <f>IF(Classements!D52=Critères!$C$53,Critères!$B$53,IF(Classements!D52=Critères!$C$54,Critères!$B$54,IF(Classements!D52=Critères!$C$55,Critères!$B$55,IF(Classements!D52=Critères!$C$56,Critères!$B$56,0))))</f>
        <v>0</v>
      </c>
      <c r="D40" s="33">
        <f>IF(Classements!E52=Critères!$C$53,Critères!$B$53,IF(Classements!E52=Critères!$C$54,Critères!$B$54,IF(Classements!E52=Critères!$C$55,Critères!$B$55,IF(Classements!E52=Critères!$C$56,Critères!$B$56,0))))</f>
        <v>0</v>
      </c>
      <c r="E40" s="34">
        <f>IF(Classements!F52=Critères!$C$53,Critères!$B$53,IF(Classements!F52=Critères!$C$54,Critères!$B$54,IF(Classements!F52=Critères!$C$55,Critères!$B$55,IF(Classements!F52=Critères!$C$56,Critères!$B$56,0))))</f>
        <v>0</v>
      </c>
      <c r="F40" s="46" t="str">
        <f t="shared" si="10"/>
        <v>-</v>
      </c>
      <c r="G40" s="46" t="str">
        <f t="shared" si="11"/>
        <v>-</v>
      </c>
      <c r="H40" s="34" t="str">
        <f t="shared" si="16"/>
        <v>-</v>
      </c>
      <c r="I40" s="53">
        <f>IF(H40="-",0,H40+1)</f>
        <v>0</v>
      </c>
      <c r="J40" s="249"/>
      <c r="K40" s="136" t="str">
        <f t="shared" si="18"/>
        <v>-</v>
      </c>
      <c r="L40" s="65" t="str">
        <f>IF(C40=0,"-",IF(B40=1,1+$J$47*0,1+$J$47*(0+I39+I38+I37+I36+I35+I34+I33+I32+I31)))</f>
        <v>-</v>
      </c>
      <c r="M40" s="43"/>
      <c r="N40" s="43"/>
      <c r="W40" s="46"/>
      <c r="X40" s="46"/>
      <c r="Y40" s="46"/>
    </row>
    <row r="41" spans="2:31" x14ac:dyDescent="0.35">
      <c r="B41" s="136">
        <f t="shared" si="15"/>
        <v>0</v>
      </c>
      <c r="C41" s="137">
        <f>IF(Classements!D51=Critères!$C$53,Critères!$B$53,IF(Classements!D51=Critères!$C$54,Critères!$B$54,IF(Classements!D51=Critères!$C$55,Critères!$B$55,IF(Classements!D51=Critères!$C$56,Critères!$B$56,0))))</f>
        <v>0</v>
      </c>
      <c r="D41" s="33">
        <f>IF(Classements!E51=Critères!$C$53,Critères!$B$53,IF(Classements!E51=Critères!$C$54,Critères!$B$54,IF(Classements!E51=Critères!$C$55,Critères!$B$55,IF(Classements!E51=Critères!$C$56,Critères!$B$56,0))))</f>
        <v>0</v>
      </c>
      <c r="E41" s="34">
        <f>IF(Classements!F51=Critères!$C$53,Critères!$B$53,IF(Classements!F51=Critères!$C$54,Critères!$B$54,IF(Classements!F51=Critères!$C$55,Critères!$B$55,IF(Classements!F51=Critères!$C$56,Critères!$B$56,0))))</f>
        <v>0</v>
      </c>
      <c r="F41" s="46" t="str">
        <f t="shared" si="10"/>
        <v>-</v>
      </c>
      <c r="G41" s="46" t="str">
        <f t="shared" si="11"/>
        <v>-</v>
      </c>
      <c r="H41" s="34" t="str">
        <f t="shared" si="16"/>
        <v>-</v>
      </c>
      <c r="I41" s="53">
        <f>IF(H41="-",0,H41+1)</f>
        <v>0</v>
      </c>
      <c r="J41" s="249"/>
      <c r="K41" s="136" t="str">
        <f t="shared" si="18"/>
        <v>-</v>
      </c>
      <c r="L41" s="65" t="str">
        <f>IF(C41=0,"-",IF(B41=1,1+$J$47*0,1+$J$47*(0+I40+I39+I38+I37+I36+I35+I34+I33+I32+I31)))</f>
        <v>-</v>
      </c>
      <c r="M41" s="43"/>
      <c r="N41" s="43"/>
      <c r="W41" s="86"/>
      <c r="X41" s="86"/>
      <c r="Y41" s="86"/>
    </row>
    <row r="42" spans="2:31" x14ac:dyDescent="0.35">
      <c r="B42" s="136">
        <f t="shared" si="15"/>
        <v>0</v>
      </c>
      <c r="C42" s="137">
        <f>IF(Classements!D50=Critères!$C$53,Critères!$B$53,IF(Classements!D50=Critères!$C$54,Critères!$B$54,IF(Classements!D50=Critères!$C$55,Critères!$B$55,IF(Classements!D50=Critères!$C$56,Critères!$B$56,0))))</f>
        <v>0</v>
      </c>
      <c r="D42" s="33">
        <f>IF(Classements!E50=Critères!$C$53,Critères!$B$53,IF(Classements!E50=Critères!$C$54,Critères!$B$54,IF(Classements!E50=Critères!$C$55,Critères!$B$55,IF(Classements!E50=Critères!$C$56,Critères!$B$56,0))))</f>
        <v>0</v>
      </c>
      <c r="E42" s="34">
        <f>IF(Classements!F50=Critères!$C$53,Critères!$B$53,IF(Classements!F50=Critères!$C$54,Critères!$B$54,IF(Classements!F50=Critères!$C$55,Critères!$B$55,IF(Classements!F50=Critères!$C$56,Critères!$B$56,0))))</f>
        <v>0</v>
      </c>
      <c r="F42" s="46" t="str">
        <f t="shared" si="10"/>
        <v>-</v>
      </c>
      <c r="G42" s="46" t="str">
        <f t="shared" si="11"/>
        <v>-</v>
      </c>
      <c r="H42" s="34" t="str">
        <f t="shared" si="16"/>
        <v>-</v>
      </c>
      <c r="I42" s="53">
        <f>IF(H42="-",0,H42+1)</f>
        <v>0</v>
      </c>
      <c r="J42" s="249"/>
      <c r="K42" s="136" t="str">
        <f t="shared" si="18"/>
        <v>-</v>
      </c>
      <c r="L42" s="65" t="str">
        <f>IF(C42=0,"-",IF(B42=1,1+$J$47*0,1+$J$47*(0+I41+I40+I39+I38+I37+I36+I35+I34+I33+I32+I31)))</f>
        <v>-</v>
      </c>
      <c r="M42" s="43"/>
      <c r="N42" s="43"/>
      <c r="W42" s="86"/>
      <c r="X42" s="86"/>
      <c r="Y42" s="86"/>
    </row>
    <row r="43" spans="2:31" x14ac:dyDescent="0.35">
      <c r="B43" s="136">
        <f t="shared" si="15"/>
        <v>1</v>
      </c>
      <c r="C43" s="137" t="str">
        <f>IF(Classements!D49=Critères!$C$53,Critères!$B$53,IF(Classements!D49=Critères!$C$54,Critères!$B$54,IF(Classements!D49=Critères!$C$55,Critères!$B$55,IF(Classements!D49=Critères!$C$56,Critères!$B$56,0))))</f>
        <v>g2.3</v>
      </c>
      <c r="D43" s="33" t="str">
        <f>IF(Classements!E49=Critères!$C$53,Critères!$B$53,IF(Classements!E49=Critères!$C$54,Critères!$B$54,IF(Classements!E49=Critères!$C$55,Critères!$B$55,IF(Classements!E49=Critères!$C$56,Critères!$B$56,0))))</f>
        <v>g2.4</v>
      </c>
      <c r="E43" s="34">
        <f>IF(Classements!F49=Critères!$C$53,Critères!$B$53,IF(Classements!F49=Critères!$C$54,Critères!$B$54,IF(Classements!F49=Critères!$C$55,Critères!$B$55,IF(Classements!F49=Critères!$C$56,Critères!$B$56,0))))</f>
        <v>0</v>
      </c>
      <c r="F43" s="46">
        <f t="shared" si="10"/>
        <v>0</v>
      </c>
      <c r="G43" s="46">
        <f t="shared" si="11"/>
        <v>0</v>
      </c>
      <c r="H43" s="34">
        <f t="shared" si="16"/>
        <v>0</v>
      </c>
      <c r="I43" s="53">
        <f t="shared" si="19"/>
        <v>1</v>
      </c>
      <c r="J43" s="249"/>
      <c r="K43" s="136">
        <f t="shared" si="18"/>
        <v>2</v>
      </c>
      <c r="L43" s="65">
        <f>IF(C43=0,"-",IF(B43=1,1+$J$47*0,1+$J$47*(0+I42+I41+I40+I39+I38+I37+I36+I35+I34+I33+I32+I31)))</f>
        <v>1</v>
      </c>
      <c r="M43" s="43"/>
      <c r="N43" s="43"/>
      <c r="W43" s="86"/>
      <c r="X43" s="86"/>
      <c r="Y43" s="86"/>
    </row>
    <row r="44" spans="2:31" x14ac:dyDescent="0.35">
      <c r="B44" s="136">
        <f t="shared" si="15"/>
        <v>2</v>
      </c>
      <c r="C44" s="137" t="str">
        <f>IF(Classements!D48=Critères!$C$53,Critères!$B$53,IF(Classements!D48=Critères!$C$54,Critères!$B$54,IF(Classements!D48=Critères!$C$55,Critères!$B$55,IF(Classements!D48=Critères!$C$56,Critères!$B$56,0))))</f>
        <v>g2.1</v>
      </c>
      <c r="D44" s="33">
        <f>IF(Classements!E48=Critères!$C$53,Critères!$B$53,IF(Classements!E48=Critères!$C$54,Critères!$B$54,IF(Classements!E48=Critères!$C$55,Critères!$B$55,IF(Classements!E48=Critères!$C$56,Critères!$B$56,0))))</f>
        <v>0</v>
      </c>
      <c r="E44" s="34">
        <f>IF(Classements!F48=Critères!$C$53,Critères!$B$53,IF(Classements!F48=Critères!$C$54,Critères!$B$54,IF(Classements!F48=Critères!$C$55,Critères!$B$55,IF(Classements!F48=Critères!$C$56,Critères!$B$56,0))))</f>
        <v>0</v>
      </c>
      <c r="F44" s="46">
        <f t="shared" si="10"/>
        <v>0</v>
      </c>
      <c r="G44" s="46">
        <f>IF(F44="-","-",IF(F44=0,0,IF(G45&lt;&gt;0,G45+F44,F44)))</f>
        <v>0</v>
      </c>
      <c r="H44" s="34">
        <f>IF(OR(G43=0,G43="-"),G44,0)</f>
        <v>0</v>
      </c>
      <c r="I44" s="53">
        <f>IF(H44="-",0,H44+1)</f>
        <v>1</v>
      </c>
      <c r="J44" s="249"/>
      <c r="K44" s="136">
        <f t="shared" si="18"/>
        <v>1</v>
      </c>
      <c r="L44" s="65">
        <f>IF(C44=0,"-",IF(B44=1,1+$J$47*0,1+$J$47*(0+I43+I42+I41+I40+I39+I38+I37+I36+I35+I34+I33+I32+I31)))</f>
        <v>2</v>
      </c>
      <c r="M44" s="43"/>
      <c r="N44" s="43"/>
      <c r="W44" s="86"/>
      <c r="X44" s="86"/>
      <c r="Y44" s="86"/>
    </row>
    <row r="45" spans="2:31" x14ac:dyDescent="0.35">
      <c r="B45" s="139">
        <f t="shared" si="15"/>
        <v>3</v>
      </c>
      <c r="C45" s="138" t="str">
        <f>IF(Classements!D47=Critères!$C$53,Critères!$B$53,IF(Classements!D47=Critères!$C$54,Critères!$B$54,IF(Classements!D47=Critères!$C$55,Critères!$B$55,IF(Classements!D47=Critères!$C$56,Critères!$B$56,0))))</f>
        <v>g2.2</v>
      </c>
      <c r="D45" s="35">
        <f>IF(Classements!E47=Critères!$C$53,Critères!$B$53,IF(Classements!E47=Critères!$C$54,Critères!$B$54,IF(Classements!E47=Critères!$C$55,Critères!$B$55,IF(Classements!E47=Critères!$C$56,Critères!$B$56,0))))</f>
        <v>0</v>
      </c>
      <c r="E45" s="47">
        <f>IF(Classements!F47=Critères!$C$53,Critères!$B$53,IF(Classements!F47=Critères!$C$54,Critères!$B$54,IF(Classements!F47=Critères!$C$55,Critères!$B$55,IF(Classements!F47=Critères!$C$56,Critères!$B$56,0))))</f>
        <v>0</v>
      </c>
      <c r="F45" s="35">
        <f>IF(B45=0,"-",IF(D47=0,1,0))</f>
        <v>0</v>
      </c>
      <c r="G45" s="35">
        <f>0</f>
        <v>0</v>
      </c>
      <c r="H45" s="47">
        <f>G45</f>
        <v>0</v>
      </c>
      <c r="I45" s="52">
        <f>IF(H45="-",0,H45+1)</f>
        <v>1</v>
      </c>
      <c r="J45" s="250"/>
      <c r="K45" s="139">
        <f t="shared" si="18"/>
        <v>1</v>
      </c>
      <c r="L45" s="74">
        <f>IF(C45=0,"-",IF(B45=1,1+$J$47*0,1+$J$47*(0+I44+I43+I42+I41+I40+I39+I38+I37+I36+I35+I34+I33+I32+I31)))</f>
        <v>3</v>
      </c>
      <c r="M45" s="43"/>
      <c r="N45" s="43"/>
      <c r="O45" s="43"/>
      <c r="Q45" s="32"/>
      <c r="Z45" s="43"/>
      <c r="AA45" s="43"/>
    </row>
    <row r="46" spans="2:31" x14ac:dyDescent="0.35">
      <c r="B46" s="46"/>
      <c r="D46" s="33" t="s">
        <v>124</v>
      </c>
      <c r="E46" s="62"/>
      <c r="F46" s="46"/>
      <c r="G46" s="46"/>
      <c r="H46" s="46"/>
      <c r="I46" s="46" t="s">
        <v>106</v>
      </c>
      <c r="J46" s="46" t="s">
        <v>105</v>
      </c>
      <c r="K46" s="46"/>
      <c r="L46" s="39"/>
      <c r="O46" s="43"/>
      <c r="Q46" s="60"/>
      <c r="R46" s="54"/>
      <c r="S46" s="54"/>
      <c r="T46" s="33"/>
      <c r="Z46" s="43"/>
      <c r="AA46" s="43"/>
    </row>
    <row r="47" spans="2:31" x14ac:dyDescent="0.35">
      <c r="C47" s="4"/>
      <c r="D47" s="36">
        <f>COUNTIF(C31:E45,"&lt;&gt;0")</f>
        <v>4</v>
      </c>
      <c r="E47" s="54"/>
      <c r="I47" s="36">
        <f>SUM(I31:I45)</f>
        <v>3</v>
      </c>
      <c r="J47" s="37">
        <f>(J31-1)/I47</f>
        <v>1</v>
      </c>
      <c r="K47" s="46"/>
      <c r="L47" s="46"/>
      <c r="O47" s="43"/>
      <c r="Q47" s="60"/>
      <c r="R47" s="54"/>
      <c r="S47" s="54"/>
      <c r="T47" s="33"/>
      <c r="Z47" s="43"/>
      <c r="AA47" s="43"/>
    </row>
    <row r="48" spans="2:31" ht="15" thickBot="1" x14ac:dyDescent="0.4"/>
    <row r="49" spans="2:32" ht="24.5" thickTop="1" thickBot="1" x14ac:dyDescent="0.4">
      <c r="B49" s="277" t="s">
        <v>151</v>
      </c>
      <c r="C49" s="278"/>
      <c r="D49" s="278"/>
      <c r="E49" s="278"/>
      <c r="F49" s="278"/>
      <c r="G49" s="278"/>
      <c r="H49" s="278"/>
      <c r="I49" s="278"/>
      <c r="J49" s="278"/>
      <c r="K49" s="278"/>
      <c r="L49" s="278"/>
      <c r="M49" s="278"/>
      <c r="N49" s="278"/>
      <c r="O49" s="278"/>
      <c r="P49" s="278"/>
      <c r="Q49" s="278"/>
      <c r="R49" s="278"/>
      <c r="S49" s="278"/>
      <c r="T49" s="278"/>
      <c r="U49" s="278"/>
      <c r="V49" s="278"/>
      <c r="W49" s="278"/>
      <c r="X49" s="278"/>
      <c r="Y49" s="278"/>
      <c r="Z49" s="278"/>
      <c r="AA49" s="278"/>
      <c r="AB49" s="278"/>
      <c r="AC49" s="278"/>
      <c r="AD49" s="278"/>
      <c r="AE49" s="278"/>
      <c r="AF49" s="279"/>
    </row>
    <row r="50" spans="2:32" ht="15.5" thickTop="1" thickBot="1" x14ac:dyDescent="0.4"/>
    <row r="51" spans="2:32" ht="14.5" customHeight="1" x14ac:dyDescent="0.35">
      <c r="B51" s="257" t="s">
        <v>95</v>
      </c>
      <c r="C51" s="259" t="s">
        <v>0</v>
      </c>
      <c r="D51" s="260"/>
      <c r="E51" s="261"/>
      <c r="F51" s="259" t="s">
        <v>99</v>
      </c>
      <c r="G51" s="260"/>
      <c r="H51" s="261"/>
      <c r="I51" s="257" t="s">
        <v>98</v>
      </c>
      <c r="J51" s="257" t="s">
        <v>48</v>
      </c>
      <c r="K51" s="257" t="s">
        <v>100</v>
      </c>
      <c r="L51" s="253" t="s">
        <v>104</v>
      </c>
      <c r="O51" s="253" t="s">
        <v>0</v>
      </c>
      <c r="P51" s="253" t="s">
        <v>104</v>
      </c>
      <c r="Q51" s="253" t="s">
        <v>101</v>
      </c>
      <c r="R51" s="253" t="s">
        <v>102</v>
      </c>
      <c r="S51" s="253" t="s">
        <v>103</v>
      </c>
      <c r="T51" s="253" t="s">
        <v>123</v>
      </c>
      <c r="U51" s="253" t="s">
        <v>111</v>
      </c>
      <c r="V51" s="253" t="s">
        <v>143</v>
      </c>
      <c r="W51" s="257" t="s">
        <v>117</v>
      </c>
      <c r="X51" s="251" t="s">
        <v>128</v>
      </c>
      <c r="Y51" s="253" t="s">
        <v>144</v>
      </c>
      <c r="Z51" s="257" t="s">
        <v>126</v>
      </c>
      <c r="AA51" s="251" t="s">
        <v>127</v>
      </c>
      <c r="AB51" s="253" t="s">
        <v>112</v>
      </c>
      <c r="AC51" s="253" t="s">
        <v>113</v>
      </c>
      <c r="AD51" s="46"/>
      <c r="AE51" s="255" t="s">
        <v>129</v>
      </c>
    </row>
    <row r="52" spans="2:32" ht="15" thickBot="1" x14ac:dyDescent="0.4">
      <c r="B52" s="258"/>
      <c r="C52" s="265"/>
      <c r="D52" s="266"/>
      <c r="E52" s="267"/>
      <c r="F52" s="265"/>
      <c r="G52" s="266"/>
      <c r="H52" s="267"/>
      <c r="I52" s="258"/>
      <c r="J52" s="258"/>
      <c r="K52" s="252"/>
      <c r="L52" s="268"/>
      <c r="O52" s="268"/>
      <c r="P52" s="268"/>
      <c r="Q52" s="268"/>
      <c r="R52" s="268"/>
      <c r="S52" s="268"/>
      <c r="T52" s="268"/>
      <c r="U52" s="268"/>
      <c r="V52" s="254"/>
      <c r="W52" s="258"/>
      <c r="X52" s="269"/>
      <c r="Y52" s="254"/>
      <c r="Z52" s="258"/>
      <c r="AA52" s="252"/>
      <c r="AB52" s="254"/>
      <c r="AC52" s="254"/>
      <c r="AD52" s="46"/>
      <c r="AE52" s="256"/>
    </row>
    <row r="53" spans="2:32" x14ac:dyDescent="0.35">
      <c r="B53" s="135">
        <f>IF(C53=0,0,1)</f>
        <v>0</v>
      </c>
      <c r="C53" s="63">
        <f>IF(Classements!D85=Critères!$C$57,Critères!$B$57,IF(Classements!D85=Critères!$C$58,Critères!$B$58,IF(Classements!D85=Critères!$C$59,Critères!$B$59,IF(Classements!D85=Critères!$C$60,Critères!$B$60,0))))</f>
        <v>0</v>
      </c>
      <c r="D53" s="59">
        <f>IF(Classements!E85=Critères!$C$57,Critères!$B$57,IF(Classements!E85=Critères!$C$58,Critères!$B$58,IF(Classements!E85=Critères!$C$59,Critères!$B$59,IF(Classements!E85=Critères!$C$60,Critères!$B$60,0))))</f>
        <v>0</v>
      </c>
      <c r="E53" s="64">
        <f>IF(Classements!F85=Critères!$C$57,Critères!$B$57,IF(Classements!F85=Critères!$C$58,Critères!$B$58,IF(Classements!F85=Critères!$C$59,Critères!$B$59,IF(Classements!F85=Critères!$C$60,Critères!$B$60,0))))</f>
        <v>0</v>
      </c>
      <c r="F53" s="46" t="str">
        <f>IF(B53=0,"-",IF(C54=0,1,0))</f>
        <v>-</v>
      </c>
      <c r="G53" s="46" t="str">
        <f t="shared" ref="G53:G66" si="20">IF(F53="-","-",IF(F53=0,0,IF(G54&lt;&gt;0,G54+F53,F53)))</f>
        <v>-</v>
      </c>
      <c r="H53" s="34" t="str">
        <f t="shared" ref="H53:H65" si="21">IF(OR(G52=0,G52="-"),G53,0)</f>
        <v>-</v>
      </c>
      <c r="I53" s="53">
        <f>IF(H53="-",0,H53+1)</f>
        <v>0</v>
      </c>
      <c r="J53" s="249">
        <f>Classements!D87</f>
        <v>4</v>
      </c>
      <c r="K53" s="135" t="str">
        <f>IF(C53=0,"-",IF(D53=0,1,IF(E53=0,2,3)))</f>
        <v>-</v>
      </c>
      <c r="L53" s="73" t="str">
        <f>IF(C53=0,"-",1+$J$69*0)</f>
        <v>-</v>
      </c>
      <c r="N53" s="87">
        <v>1</v>
      </c>
      <c r="O53" s="135" t="s">
        <v>134</v>
      </c>
      <c r="P53" s="40">
        <f>INDEX($L$53:$L$67,coord($C$53:$E$67,O53))</f>
        <v>3.4</v>
      </c>
      <c r="Q53" s="40">
        <f>(100/$P$58)*P53</f>
        <v>41.463414634146339</v>
      </c>
      <c r="R53" s="66">
        <f>TRUNC(Q53,$Q$58)</f>
        <v>41.46</v>
      </c>
      <c r="S53" s="40">
        <f>(10^(-$Q$58)-(Q53-R53))/Q53</f>
        <v>1.5882352941183961E-4</v>
      </c>
      <c r="T53" s="40">
        <f>(Q53-R53)/Q53</f>
        <v>8.235294117639569E-5</v>
      </c>
      <c r="U53" s="63">
        <f>IF(S53&gt;T53,1,0)</f>
        <v>1</v>
      </c>
      <c r="V53" s="135">
        <f>IF(U53=1,S53,"")</f>
        <v>1.5882352941183961E-4</v>
      </c>
      <c r="W53" s="84" cm="1">
        <f t="array" ref="W53">IF(U58+S58&gt;O58,IF(W58=1,SMALL(V53:V56,{1}),IF(W58=2,SMALL(V53:V56,{1;2}),IF(W58=3,SMALL(V53:V56,{1;2;3}),IF(W58=4,SMALL(V53:V56,{1;2;3;4}),IF(W58=5,SMALL(V53:V56,{1;2;3;4;5}),IF(W58=6,SMALL(V53:V56,{1;2;3;4;5;6}),IF(W58=7,SMALL(V53:V56,{1;2;3;4;5;6;7}),IF(W58=8,SMALL(V53:V56,{1;2;3;4;5;6;7;8}))))))))),0)</f>
        <v>0</v>
      </c>
      <c r="X53" s="72">
        <f>IF(COUNTIF($W$53:$W$56,S53)&lt;&gt;0,1,0)</f>
        <v>0</v>
      </c>
      <c r="Y53" s="73" t="str">
        <f>IF(U53=0,T53,"")</f>
        <v/>
      </c>
      <c r="Z53" s="84" cm="1">
        <f t="array" ref="Z53">IF(U58+S58&lt;O58,IF(Z58=1,SMALL(Y53:Y56,{1}),IF(Z58=2,SMALL(Y53:Y56,{1;2}),IF(Z58=3,SMALL(Y53:Y56,{1;2;3}),IF(Z58=4,SMALL(Y53:Y56,{1;2;3;4}),IF(Z58=5,SMALL(Y53:Y56,{1;2;3;4;5}),IF(Z58=6,SMALL(Y53:Y56,{1;2;3;4;5;6}),IF(Z58=7,SMALL(Y53:Y56,{1;2;3;4;5;6;7}),IF(Z58=8,SMALL(Y53:Y56,{1;2;3;4;5;6;7;8}))))))))),0)</f>
        <v>1.8571428571411683E-4</v>
      </c>
      <c r="AA53" s="72">
        <f>IF(COUNTIF($Z$53:$Z$56,T53)&lt;&gt;0,1,0)</f>
        <v>0</v>
      </c>
      <c r="AB53" s="64">
        <f>IF($U$58+$S$58&gt;$O$58,IF(U53=0,1,IF(X53=1,1,0)),IF(AC53=1,0,1))</f>
        <v>0</v>
      </c>
      <c r="AC53" s="135">
        <f>IF($U$58+$S$58&lt;=$O$58,IF(U53=1,1,IF(AA53=1,1,0)),IF(AB53=1,0,1))</f>
        <v>1</v>
      </c>
      <c r="AD53" s="46"/>
      <c r="AE53" s="94">
        <f>IF(AND(AB53=0,AC53=1),ROUNDDOWN(Q53,$Q$58),ROUNDUP(Q53,$Q$58))</f>
        <v>41.46</v>
      </c>
    </row>
    <row r="54" spans="2:32" x14ac:dyDescent="0.35">
      <c r="B54" s="136">
        <f t="shared" ref="B54:B67" si="22">IF(B53=0,IF(C54=0,0,1),B53+1)</f>
        <v>0</v>
      </c>
      <c r="C54" s="137">
        <f>IF(Classements!D84=Critères!$C$57,Critères!$B$57,IF(Classements!D84=Critères!$C$58,Critères!$B$58,IF(Classements!D84=Critères!$C$59,Critères!$B$59,IF(Classements!D84=Critères!$C$60,Critères!$B$60,0))))</f>
        <v>0</v>
      </c>
      <c r="D54" s="33">
        <f>IF(Classements!E84=Critères!$C$57,Critères!$B$57,IF(Classements!E84=Critères!$C$58,Critères!$B$58,IF(Classements!E84=Critères!$C$59,Critères!$B$59,IF(Classements!E84=Critères!$C$60,Critères!$B$60,0))))</f>
        <v>0</v>
      </c>
      <c r="E54" s="34">
        <f>IF(Classements!F84=Critères!$C$57,Critères!$B$57,IF(Classements!F84=Critères!$C$58,Critères!$B$58,IF(Classements!F84=Critères!$C$59,Critères!$B$59,IF(Classements!F84=Critères!$C$60,Critères!$B$60,0))))</f>
        <v>0</v>
      </c>
      <c r="F54" s="46" t="str">
        <f>IF(B54=0,"-",IF(C55=0,1,0))</f>
        <v>-</v>
      </c>
      <c r="G54" s="46" t="str">
        <f t="shared" si="20"/>
        <v>-</v>
      </c>
      <c r="H54" s="34" t="str">
        <f t="shared" si="21"/>
        <v>-</v>
      </c>
      <c r="I54" s="53">
        <f t="shared" ref="I54:I66" si="23">IF(H54="-",0,H54+1)</f>
        <v>0</v>
      </c>
      <c r="J54" s="249"/>
      <c r="K54" s="136" t="str">
        <f t="shared" ref="K54:K67" si="24">IF(C54=0,"-",IF(D54=0,1,IF(E54=0,2,3)))</f>
        <v>-</v>
      </c>
      <c r="L54" s="65" t="str">
        <f>IF(C54=0,"-",IF(B54=1,1+$J$69*0,1+$J$69*(0+I53)))</f>
        <v>-</v>
      </c>
      <c r="N54" s="88">
        <v>2</v>
      </c>
      <c r="O54" s="136" t="s">
        <v>135</v>
      </c>
      <c r="P54" s="41">
        <f>INDEX($L$53:$L$67,coord($C$53:$E$67,O54))</f>
        <v>2.8</v>
      </c>
      <c r="Q54" s="41">
        <f>(100/$P$58)*P54</f>
        <v>34.146341463414629</v>
      </c>
      <c r="R54" s="67">
        <f>TRUNC(Q54,$Q$58)</f>
        <v>34.14</v>
      </c>
      <c r="S54" s="41">
        <f>(10^(-$Q$58)-(Q54-R54))/Q54</f>
        <v>1.0714285714302607E-4</v>
      </c>
      <c r="T54" s="41">
        <f>(Q54-R54)/Q54</f>
        <v>1.8571428571411683E-4</v>
      </c>
      <c r="U54" s="137">
        <f>IF(S54&gt;T54,1,0)</f>
        <v>0</v>
      </c>
      <c r="V54" s="136" t="str">
        <f>IF(U54=1,S54,"")</f>
        <v/>
      </c>
      <c r="W54" s="75"/>
      <c r="X54" s="136">
        <f>IF(COUNTIF($W$53:$W$56,S54)&lt;&gt;0,IF(SUM(X53)&gt;=W58,0,1),0)</f>
        <v>0</v>
      </c>
      <c r="Y54" s="65">
        <f>IF(U54=0,T54,"")</f>
        <v>1.8571428571411683E-4</v>
      </c>
      <c r="Z54" s="75"/>
      <c r="AA54" s="136">
        <f>IF(COUNTIF($Z$53:$Z$56,T54)&lt;&gt;0,IF(SUM(AA53)&gt;=Z58,0,1),0)</f>
        <v>1</v>
      </c>
      <c r="AB54" s="34">
        <f>IF($U$58+$S$58&gt;$O$58,IF(U54=0,1,IF(X54=1,1,0)),IF(AC54=1,0,1))</f>
        <v>0</v>
      </c>
      <c r="AC54" s="136">
        <f>IF($U$58+$S$58&lt;=$O$58,IF(U54=1,1,IF(AA54=1,1,0)),IF(AB54=1,0,1))</f>
        <v>1</v>
      </c>
      <c r="AD54" s="46"/>
      <c r="AE54" s="95">
        <f>IF(AND(AB54=0,AC54=1),ROUNDDOWN(Q54,$Q$58),ROUNDUP(Q54,$Q$58))</f>
        <v>34.14</v>
      </c>
    </row>
    <row r="55" spans="2:32" x14ac:dyDescent="0.35">
      <c r="B55" s="136">
        <f t="shared" si="22"/>
        <v>0</v>
      </c>
      <c r="C55" s="137">
        <f>IF(Classements!D83=Critères!$C$57,Critères!$B$57,IF(Classements!D83=Critères!$C$58,Critères!$B$58,IF(Classements!D83=Critères!$C$59,Critères!$B$59,IF(Classements!D83=Critères!$C$60,Critères!$B$60,0))))</f>
        <v>0</v>
      </c>
      <c r="D55" s="33">
        <f>IF(Classements!E83=Critères!$C$57,Critères!$B$57,IF(Classements!E83=Critères!$C$58,Critères!$B$58,IF(Classements!E83=Critères!$C$59,Critères!$B$59,IF(Classements!E83=Critères!$C$60,Critères!$B$60,0))))</f>
        <v>0</v>
      </c>
      <c r="E55" s="34">
        <f>IF(Classements!F83=Critères!$C$57,Critères!$B$57,IF(Classements!F83=Critères!$C$58,Critères!$B$58,IF(Classements!F83=Critères!$C$59,Critères!$B$59,IF(Classements!F83=Critères!$C$60,Critères!$B$60,0))))</f>
        <v>0</v>
      </c>
      <c r="F55" s="46" t="str">
        <f>IF(B55=0,"-",IF(C56=0,1,0))</f>
        <v>-</v>
      </c>
      <c r="G55" s="46" t="str">
        <f t="shared" si="20"/>
        <v>-</v>
      </c>
      <c r="H55" s="34" t="str">
        <f t="shared" si="21"/>
        <v>-</v>
      </c>
      <c r="I55" s="53">
        <f t="shared" si="23"/>
        <v>0</v>
      </c>
      <c r="J55" s="249"/>
      <c r="K55" s="136" t="str">
        <f t="shared" si="24"/>
        <v>-</v>
      </c>
      <c r="L55" s="65" t="str">
        <f>IF(C55=0,"-",IF(B55=1,1+$J$69*0,1+$J$69*(0+I54+I53)))</f>
        <v>-</v>
      </c>
      <c r="N55" s="88">
        <v>3</v>
      </c>
      <c r="O55" s="136" t="s">
        <v>136</v>
      </c>
      <c r="P55" s="41">
        <f>INDEX($L$53:$L$67,coord($C$53:$E$67,O55))</f>
        <v>1</v>
      </c>
      <c r="Q55" s="41">
        <f>(100/$P$58)*P55</f>
        <v>12.195121951219512</v>
      </c>
      <c r="R55" s="67">
        <f>TRUNC(Q55,$Q$58)</f>
        <v>12.19</v>
      </c>
      <c r="S55" s="41">
        <f>(10^(-$Q$58)-(Q55-R55))/Q55</f>
        <v>3.99999999999945E-4</v>
      </c>
      <c r="T55" s="41">
        <f>(Q55-R55)/Q55</f>
        <v>4.2000000000005499E-4</v>
      </c>
      <c r="U55" s="137">
        <f>IF(S55&gt;T55,1,0)</f>
        <v>0</v>
      </c>
      <c r="V55" s="136" t="str">
        <f>IF(U55=1,S55,"")</f>
        <v/>
      </c>
      <c r="W55" s="75"/>
      <c r="X55" s="136">
        <f>IF(COUNTIF($W$53:$W$56,S55)&lt;&gt;0,IF(SUM(X53:X54)&gt;=W58,0,1),0)</f>
        <v>0</v>
      </c>
      <c r="Y55" s="65">
        <f>IF(U55=0,T55,"")</f>
        <v>4.2000000000005499E-4</v>
      </c>
      <c r="Z55" s="75"/>
      <c r="AA55" s="136">
        <f>IF(COUNTIF($Z$53:$Z$56,T55)&lt;&gt;0,IF(SUM(AA53:AA54)&gt;=Z58,0,1),0)</f>
        <v>0</v>
      </c>
      <c r="AB55" s="34">
        <f>IF($U$58+$S$58&gt;$O$58,IF(U55=0,1,IF(X55=1,1,0)),IF(AC55=1,0,1))</f>
        <v>1</v>
      </c>
      <c r="AC55" s="136">
        <f>IF($U$58+$S$58&lt;=$O$58,IF(U55=1,1,IF(AA55=1,1,0)),IF(AB55=1,0,1))</f>
        <v>0</v>
      </c>
      <c r="AD55" s="46"/>
      <c r="AE55" s="95">
        <f>IF(AND(AB55=0,AC55=1),ROUNDDOWN(Q55,$Q$58),ROUNDUP(Q55,$Q$58))</f>
        <v>12.2</v>
      </c>
    </row>
    <row r="56" spans="2:32" ht="15" thickBot="1" x14ac:dyDescent="0.4">
      <c r="B56" s="136">
        <f t="shared" si="22"/>
        <v>0</v>
      </c>
      <c r="C56" s="137">
        <f>IF(Classements!D82=Critères!$C$57,Critères!$B$57,IF(Classements!D82=Critères!$C$58,Critères!$B$58,IF(Classements!D82=Critères!$C$59,Critères!$B$59,IF(Classements!D82=Critères!$C$60,Critères!$B$60,0))))</f>
        <v>0</v>
      </c>
      <c r="D56" s="33">
        <f>IF(Classements!E82=Critères!$C$57,Critères!$B$57,IF(Classements!E82=Critères!$C$58,Critères!$B$58,IF(Classements!E82=Critères!$C$59,Critères!$B$59,IF(Classements!E82=Critères!$C$60,Critères!$B$60,0))))</f>
        <v>0</v>
      </c>
      <c r="E56" s="34">
        <f>IF(Classements!F82=Critères!$C$57,Critères!$B$57,IF(Classements!F82=Critères!$C$58,Critères!$B$58,IF(Classements!F82=Critères!$C$59,Critères!$B$59,IF(Classements!F82=Critères!$C$60,Critères!$B$60,0))))</f>
        <v>0</v>
      </c>
      <c r="F56" s="46" t="str">
        <f t="shared" ref="F56:F64" si="25">IF(B56=0,"-",IF(C57=0,1,0))</f>
        <v>-</v>
      </c>
      <c r="G56" s="46" t="str">
        <f t="shared" si="20"/>
        <v>-</v>
      </c>
      <c r="H56" s="34" t="str">
        <f t="shared" si="21"/>
        <v>-</v>
      </c>
      <c r="I56" s="53">
        <f t="shared" si="23"/>
        <v>0</v>
      </c>
      <c r="J56" s="249"/>
      <c r="K56" s="136" t="str">
        <f t="shared" si="24"/>
        <v>-</v>
      </c>
      <c r="L56" s="65" t="str">
        <f>IF(C56=0,"-",IF(B56=1,1+$J$69*0,1+$J$69*(0+I55+I54+I53)))</f>
        <v>-</v>
      </c>
      <c r="N56" s="89">
        <v>4</v>
      </c>
      <c r="O56" s="139" t="s">
        <v>137</v>
      </c>
      <c r="P56" s="42">
        <f>INDEX($L$53:$L$67,coord($C$53:$E$67,O56))</f>
        <v>1</v>
      </c>
      <c r="Q56" s="42">
        <f>(100/$P$58)*P56</f>
        <v>12.195121951219512</v>
      </c>
      <c r="R56" s="68">
        <f>TRUNC(Q56,$Q$58)</f>
        <v>12.19</v>
      </c>
      <c r="S56" s="42">
        <f>(10^(-$Q$58)-(Q56-R56))/Q56</f>
        <v>3.99999999999945E-4</v>
      </c>
      <c r="T56" s="42">
        <f>(Q56-R56)/Q56</f>
        <v>4.2000000000005499E-4</v>
      </c>
      <c r="U56" s="138">
        <f>IF(S56&gt;T56,1,0)</f>
        <v>0</v>
      </c>
      <c r="V56" s="139" t="str">
        <f t="shared" ref="V56" si="26">IF(U56=1,S56,"")</f>
        <v/>
      </c>
      <c r="W56" s="85"/>
      <c r="X56" s="139">
        <f>IF(COUNTIF($W$53:$W$56,S56)&lt;&gt;0,IF(SUM(X53:X55)&gt;=W58,0,1),0)</f>
        <v>0</v>
      </c>
      <c r="Y56" s="74">
        <f>IF(U56=0,T56,"")</f>
        <v>4.2000000000005499E-4</v>
      </c>
      <c r="Z56" s="85"/>
      <c r="AA56" s="139">
        <f>IF(COUNTIF($Z$53:$Z$56,T56)&lt;&gt;0,IF(SUM(AA53:AA55)&gt;=Z58,0,1),0)</f>
        <v>0</v>
      </c>
      <c r="AB56" s="47">
        <f>IF($U$58+$S$58&gt;$O$58,IF(U56=0,1,IF(X56=1,1,0)),IF(AC56=1,0,1))</f>
        <v>1</v>
      </c>
      <c r="AC56" s="139">
        <f>IF($U$58+$S$58&lt;=$O$58,IF(U56=1,1,IF(AA56=1,1,0)),IF(AB56=1,0,1))</f>
        <v>0</v>
      </c>
      <c r="AD56" s="46"/>
      <c r="AE56" s="96">
        <f>IF(AND(AB56=0,AC56=1),ROUNDDOWN(Q56,$Q$58),ROUNDUP(Q56,$Q$58))</f>
        <v>12.2</v>
      </c>
    </row>
    <row r="57" spans="2:32" ht="15" thickBot="1" x14ac:dyDescent="0.4">
      <c r="B57" s="136">
        <f t="shared" si="22"/>
        <v>0</v>
      </c>
      <c r="C57" s="137">
        <f>IF(Classements!D81=Critères!$C$57,Critères!$B$57,IF(Classements!D81=Critères!$C$58,Critères!$B$58,IF(Classements!D81=Critères!$C$59,Critères!$B$59,IF(Classements!D81=Critères!$C$60,Critères!$B$60,0))))</f>
        <v>0</v>
      </c>
      <c r="D57" s="33">
        <f>IF(Classements!E81=Critères!$C$57,Critères!$B$57,IF(Classements!E81=Critères!$C$58,Critères!$B$58,IF(Classements!E81=Critères!$C$59,Critères!$B$59,IF(Classements!E81=Critères!$C$60,Critères!$B$60,0))))</f>
        <v>0</v>
      </c>
      <c r="E57" s="34">
        <f>IF(Classements!F81=Critères!$C$57,Critères!$B$57,IF(Classements!F81=Critères!$C$58,Critères!$B$58,IF(Classements!F81=Critères!$C$59,Critères!$B$59,IF(Classements!F81=Critères!$C$60,Critères!$B$60,0))))</f>
        <v>0</v>
      </c>
      <c r="F57" s="46" t="str">
        <f>IF(B57=0,"-",IF(C58=0,1,0))</f>
        <v>-</v>
      </c>
      <c r="G57" s="46" t="str">
        <f t="shared" si="20"/>
        <v>-</v>
      </c>
      <c r="H57" s="34" t="str">
        <f t="shared" si="21"/>
        <v>-</v>
      </c>
      <c r="I57" s="53">
        <f t="shared" si="23"/>
        <v>0</v>
      </c>
      <c r="J57" s="249"/>
      <c r="K57" s="136" t="str">
        <f t="shared" si="24"/>
        <v>-</v>
      </c>
      <c r="L57" s="65" t="str">
        <f>IF(C57=0,"-",IF(B57=1,1+$J$69*0,1+$J$69*(0+I56+I55+I54+I53)))</f>
        <v>-</v>
      </c>
      <c r="O57" s="46" t="s">
        <v>124</v>
      </c>
      <c r="P57" s="46" t="s">
        <v>114</v>
      </c>
      <c r="Q57" s="46" t="s">
        <v>107</v>
      </c>
      <c r="R57" s="46" t="s">
        <v>108</v>
      </c>
      <c r="S57" s="60" t="s">
        <v>109</v>
      </c>
      <c r="T57" s="46"/>
      <c r="U57" s="44" t="s">
        <v>110</v>
      </c>
      <c r="V57" s="44"/>
      <c r="W57" s="46" t="s">
        <v>142</v>
      </c>
      <c r="X57" s="33"/>
      <c r="Y57" s="33"/>
      <c r="Z57" s="46" t="s">
        <v>125</v>
      </c>
      <c r="AA57" s="33"/>
      <c r="AB57" s="44" t="s">
        <v>115</v>
      </c>
      <c r="AC57" s="44" t="s">
        <v>116</v>
      </c>
      <c r="AE57" s="97"/>
    </row>
    <row r="58" spans="2:32" ht="15" thickBot="1" x14ac:dyDescent="0.4">
      <c r="B58" s="136">
        <f t="shared" si="22"/>
        <v>0</v>
      </c>
      <c r="C58" s="137">
        <f>IF(Classements!D80=Critères!$C$57,Critères!$B$57,IF(Classements!D80=Critères!$C$58,Critères!$B$58,IF(Classements!D80=Critères!$C$59,Critères!$B$59,IF(Classements!D80=Critères!$C$60,Critères!$B$60,0))))</f>
        <v>0</v>
      </c>
      <c r="D58" s="33">
        <f>IF(Classements!E80=Critères!$C$57,Critères!$B$57,IF(Classements!E80=Critères!$C$58,Critères!$B$58,IF(Classements!E80=Critères!$C$59,Critères!$B$59,IF(Classements!E80=Critères!$C$60,Critères!$B$60,0))))</f>
        <v>0</v>
      </c>
      <c r="E58" s="34">
        <f>IF(Classements!F80=Critères!$C$57,Critères!$B$57,IF(Classements!F80=Critères!$C$58,Critères!$B$58,IF(Classements!F80=Critères!$C$59,Critères!$B$59,IF(Classements!F80=Critères!$C$60,Critères!$B$60,0))))</f>
        <v>0</v>
      </c>
      <c r="F58" s="46" t="str">
        <f t="shared" si="25"/>
        <v>-</v>
      </c>
      <c r="G58" s="46" t="str">
        <f t="shared" si="20"/>
        <v>-</v>
      </c>
      <c r="H58" s="34" t="str">
        <f t="shared" si="21"/>
        <v>-</v>
      </c>
      <c r="I58" s="53">
        <f t="shared" si="23"/>
        <v>0</v>
      </c>
      <c r="J58" s="249"/>
      <c r="K58" s="136" t="str">
        <f t="shared" si="24"/>
        <v>-</v>
      </c>
      <c r="L58" s="65" t="str">
        <f>IF(C58=0,"-",IF(B58=1,1+$J$69*0,1+$J$69*(0+I57+I56+I55+I54+I53)))</f>
        <v>-</v>
      </c>
      <c r="O58" s="36">
        <f>COUNTIF(O53:O56,"&lt;&gt;0")</f>
        <v>4</v>
      </c>
      <c r="P58" s="37">
        <f>SUM(P53:P56)</f>
        <v>8.1999999999999993</v>
      </c>
      <c r="Q58" s="36">
        <v>2</v>
      </c>
      <c r="R58" s="45">
        <f>SUM(R53:R56)</f>
        <v>99.97999999999999</v>
      </c>
      <c r="S58" s="71">
        <f>ROUND(10^(Q58)*(100-R58),0)</f>
        <v>2</v>
      </c>
      <c r="T58" s="50"/>
      <c r="U58" s="38">
        <f>SUM(U53:U56)</f>
        <v>1</v>
      </c>
      <c r="V58" s="92"/>
      <c r="W58" s="49">
        <f>S58+U58-O58</f>
        <v>-1</v>
      </c>
      <c r="X58" s="56"/>
      <c r="Y58" s="56"/>
      <c r="Z58" s="49">
        <f>O58-S58-U58</f>
        <v>1</v>
      </c>
      <c r="AA58" s="57"/>
      <c r="AB58" s="48">
        <f>IF(SUM(AB53:AB56)=S58,S58,"ERREUR")</f>
        <v>2</v>
      </c>
      <c r="AC58" s="48">
        <f>IF(SUM(AC53:AC56)=O58-S58,O58-S58,"ERREUR")</f>
        <v>2</v>
      </c>
      <c r="AE58" s="61">
        <f>SUM(AE53:AE56)</f>
        <v>100</v>
      </c>
    </row>
    <row r="59" spans="2:32" x14ac:dyDescent="0.35">
      <c r="B59" s="136">
        <f t="shared" si="22"/>
        <v>0</v>
      </c>
      <c r="C59" s="137">
        <f>IF(Classements!D79=Critères!$C$57,Critères!$B$57,IF(Classements!D79=Critères!$C$58,Critères!$B$58,IF(Classements!D79=Critères!$C$59,Critères!$B$59,IF(Classements!D79=Critères!$C$60,Critères!$B$60,0))))</f>
        <v>0</v>
      </c>
      <c r="D59" s="33">
        <f>IF(Classements!E79=Critères!$C$57,Critères!$B$57,IF(Classements!E79=Critères!$C$58,Critères!$B$58,IF(Classements!E79=Critères!$C$59,Critères!$B$59,IF(Classements!E79=Critères!$C$60,Critères!$B$60,0))))</f>
        <v>0</v>
      </c>
      <c r="E59" s="34">
        <f>IF(Classements!F79=Critères!$C$57,Critères!$B$57,IF(Classements!F79=Critères!$C$58,Critères!$B$58,IF(Classements!F79=Critères!$C$59,Critères!$B$59,IF(Classements!F79=Critères!$C$60,Critères!$B$60,0))))</f>
        <v>0</v>
      </c>
      <c r="F59" s="46" t="str">
        <f t="shared" si="25"/>
        <v>-</v>
      </c>
      <c r="G59" s="46" t="str">
        <f t="shared" si="20"/>
        <v>-</v>
      </c>
      <c r="H59" s="34" t="str">
        <f t="shared" si="21"/>
        <v>-</v>
      </c>
      <c r="I59" s="53">
        <f t="shared" si="23"/>
        <v>0</v>
      </c>
      <c r="J59" s="249"/>
      <c r="K59" s="136" t="str">
        <f t="shared" si="24"/>
        <v>-</v>
      </c>
      <c r="L59" s="65" t="str">
        <f>IF(C59=0,"-",IF(B59=1,1+$J$69*0,1+$J$69*(0+I58+I57+I56+I55+I54+I53)))</f>
        <v>-</v>
      </c>
    </row>
    <row r="60" spans="2:32" x14ac:dyDescent="0.35">
      <c r="B60" s="136">
        <f t="shared" si="22"/>
        <v>0</v>
      </c>
      <c r="C60" s="137">
        <f>IF(Classements!D78=Critères!$C$57,Critères!$B$57,IF(Classements!D78=Critères!$C$58,Critères!$B$58,IF(Classements!D78=Critères!$C$59,Critères!$B$59,IF(Classements!D78=Critères!$C$60,Critères!$B$60,0))))</f>
        <v>0</v>
      </c>
      <c r="D60" s="33">
        <f>IF(Classements!E78=Critères!$C$57,Critères!$B$57,IF(Classements!E78=Critères!$C$58,Critères!$B$58,IF(Classements!E78=Critères!$C$59,Critères!$B$59,IF(Classements!E78=Critères!$C$60,Critères!$B$60,0))))</f>
        <v>0</v>
      </c>
      <c r="E60" s="34">
        <f>IF(Classements!F78=Critères!$C$57,Critères!$B$57,IF(Classements!F78=Critères!$C$58,Critères!$B$58,IF(Classements!F78=Critères!$C$59,Critères!$B$59,IF(Classements!F78=Critères!$C$60,Critères!$B$60,0))))</f>
        <v>0</v>
      </c>
      <c r="F60" s="46" t="str">
        <f t="shared" si="25"/>
        <v>-</v>
      </c>
      <c r="G60" s="46" t="str">
        <f t="shared" si="20"/>
        <v>-</v>
      </c>
      <c r="H60" s="34" t="str">
        <f t="shared" si="21"/>
        <v>-</v>
      </c>
      <c r="I60" s="53">
        <f t="shared" si="23"/>
        <v>0</v>
      </c>
      <c r="J60" s="249"/>
      <c r="K60" s="136" t="str">
        <f t="shared" si="24"/>
        <v>-</v>
      </c>
      <c r="L60" s="65" t="str">
        <f>IF(C60=0,"-",IF(B60=1,1+$J$69*0,1+$J$69*(0+I59+I58+I57+I56+I55+I54+I53)))</f>
        <v>-</v>
      </c>
      <c r="O60" s="43"/>
      <c r="R60" s="54"/>
      <c r="Z60" s="33"/>
      <c r="AA60" s="33"/>
    </row>
    <row r="61" spans="2:32" x14ac:dyDescent="0.35">
      <c r="B61" s="136">
        <f t="shared" si="22"/>
        <v>0</v>
      </c>
      <c r="C61" s="137">
        <f>IF(Classements!D77=Critères!$C$57,Critères!$B$57,IF(Classements!D77=Critères!$C$58,Critères!$B$58,IF(Classements!D77=Critères!$C$59,Critères!$B$59,IF(Classements!D77=Critères!$C$60,Critères!$B$60,0))))</f>
        <v>0</v>
      </c>
      <c r="D61" s="33">
        <f>IF(Classements!E77=Critères!$C$57,Critères!$B$57,IF(Classements!E77=Critères!$C$58,Critères!$B$58,IF(Classements!E77=Critères!$C$59,Critères!$B$59,IF(Classements!E77=Critères!$C$60,Critères!$B$60,0))))</f>
        <v>0</v>
      </c>
      <c r="E61" s="34">
        <f>IF(Classements!F77=Critères!$C$57,Critères!$B$57,IF(Classements!F77=Critères!$C$58,Critères!$B$58,IF(Classements!F77=Critères!$C$59,Critères!$B$59,IF(Classements!F77=Critères!$C$60,Critères!$B$60,0))))</f>
        <v>0</v>
      </c>
      <c r="F61" s="46" t="str">
        <f t="shared" si="25"/>
        <v>-</v>
      </c>
      <c r="G61" s="46" t="str">
        <f t="shared" si="20"/>
        <v>-</v>
      </c>
      <c r="H61" s="34" t="str">
        <f t="shared" si="21"/>
        <v>-</v>
      </c>
      <c r="I61" s="53">
        <f t="shared" si="23"/>
        <v>0</v>
      </c>
      <c r="J61" s="249"/>
      <c r="K61" s="136" t="str">
        <f t="shared" si="24"/>
        <v>-</v>
      </c>
      <c r="L61" s="65" t="str">
        <f>IF(C61=0,"-",IF(B61=1,1+$J$69*0,1+$J$69*(0+I60+I59+I58+I57+I56+I55+I54+I53)))</f>
        <v>-</v>
      </c>
      <c r="O61" s="43"/>
      <c r="P61" s="46"/>
      <c r="R61" s="69"/>
      <c r="U61" s="4"/>
      <c r="V61" s="4"/>
      <c r="W61" s="77"/>
      <c r="X61" s="4"/>
      <c r="Y61" s="4"/>
      <c r="Z61" s="77"/>
      <c r="AA61" s="75"/>
      <c r="AB61" s="46"/>
      <c r="AC61" s="46"/>
    </row>
    <row r="62" spans="2:32" x14ac:dyDescent="0.35">
      <c r="B62" s="136">
        <f t="shared" si="22"/>
        <v>0</v>
      </c>
      <c r="C62" s="137">
        <f>IF(Classements!D76=Critères!$C$57,Critères!$B$57,IF(Classements!D76=Critères!$C$58,Critères!$B$58,IF(Classements!D76=Critères!$C$59,Critères!$B$59,IF(Classements!D76=Critères!$C$60,Critères!$B$60,0))))</f>
        <v>0</v>
      </c>
      <c r="D62" s="33">
        <f>IF(Classements!E76=Critères!$C$57,Critères!$B$57,IF(Classements!E76=Critères!$C$58,Critères!$B$58,IF(Classements!E76=Critères!$C$59,Critères!$B$59,IF(Classements!E76=Critères!$C$60,Critères!$B$60,0))))</f>
        <v>0</v>
      </c>
      <c r="E62" s="34">
        <f>IF(Classements!F76=Critères!$C$57,Critères!$B$57,IF(Classements!F76=Critères!$C$58,Critères!$B$58,IF(Classements!F76=Critères!$C$59,Critères!$B$59,IF(Classements!F76=Critères!$C$60,Critères!$B$60,0))))</f>
        <v>0</v>
      </c>
      <c r="F62" s="46" t="str">
        <f t="shared" si="25"/>
        <v>-</v>
      </c>
      <c r="G62" s="46" t="str">
        <f t="shared" si="20"/>
        <v>-</v>
      </c>
      <c r="H62" s="34" t="str">
        <f>IF(OR(G61=0,G61="-"),G62,0)</f>
        <v>-</v>
      </c>
      <c r="I62" s="53">
        <f t="shared" si="23"/>
        <v>0</v>
      </c>
      <c r="J62" s="249"/>
      <c r="K62" s="136" t="str">
        <f t="shared" si="24"/>
        <v>-</v>
      </c>
      <c r="L62" s="65" t="str">
        <f>IF(C62=0,"-",IF(B62=1,1+$J$69*0,1+$J$69*(0+I61+I60+I59+I58+I57+I56+I55+I54+I53)))</f>
        <v>-</v>
      </c>
      <c r="U62" s="4"/>
      <c r="V62" s="4"/>
      <c r="W62" s="77"/>
      <c r="X62" s="4"/>
      <c r="Y62" s="4"/>
      <c r="Z62" s="77"/>
      <c r="AA62" s="4"/>
    </row>
    <row r="63" spans="2:32" x14ac:dyDescent="0.35">
      <c r="B63" s="136">
        <f t="shared" si="22"/>
        <v>0</v>
      </c>
      <c r="C63" s="137">
        <f>IF(Classements!D75=Critères!$C$57,Critères!$B$57,IF(Classements!D75=Critères!$C$58,Critères!$B$58,IF(Classements!D75=Critères!$C$59,Critères!$B$59,IF(Classements!D75=Critères!$C$60,Critères!$B$60,0))))</f>
        <v>0</v>
      </c>
      <c r="D63" s="33">
        <f>IF(Classements!E75=Critères!$C$57,Critères!$B$57,IF(Classements!E75=Critères!$C$58,Critères!$B$58,IF(Classements!E75=Critères!$C$59,Critères!$B$59,IF(Classements!E75=Critères!$C$60,Critères!$B$60,0))))</f>
        <v>0</v>
      </c>
      <c r="E63" s="34">
        <f>IF(Classements!F75=Critères!$C$57,Critères!$B$57,IF(Classements!F75=Critères!$C$58,Critères!$B$58,IF(Classements!F75=Critères!$C$59,Critères!$B$59,IF(Classements!F75=Critères!$C$60,Critères!$B$60,0))))</f>
        <v>0</v>
      </c>
      <c r="F63" s="46" t="str">
        <f t="shared" si="25"/>
        <v>-</v>
      </c>
      <c r="G63" s="46" t="str">
        <f t="shared" si="20"/>
        <v>-</v>
      </c>
      <c r="H63" s="34" t="str">
        <f>IF(OR(G62=0,G62="-"),G63,0)</f>
        <v>-</v>
      </c>
      <c r="I63" s="53">
        <f t="shared" si="23"/>
        <v>0</v>
      </c>
      <c r="J63" s="249"/>
      <c r="K63" s="136" t="str">
        <f t="shared" si="24"/>
        <v>-</v>
      </c>
      <c r="L63" s="65" t="str">
        <f>IF(C63=0,"-",IF(B63=1,1+$J$69*0,1+$J$69*(0+I62+I61+I60+I59+I58+I57+I56+I55+I54+I53)))</f>
        <v>-</v>
      </c>
      <c r="U63" s="4"/>
      <c r="V63" s="4"/>
      <c r="W63" s="75"/>
      <c r="X63" s="4"/>
      <c r="Y63" s="4"/>
      <c r="Z63" s="75"/>
      <c r="AA63" s="4"/>
    </row>
    <row r="64" spans="2:32" x14ac:dyDescent="0.35">
      <c r="B64" s="136">
        <f t="shared" si="22"/>
        <v>1</v>
      </c>
      <c r="C64" s="137" t="str">
        <f>IF(Classements!D74=Critères!$C$57,Critères!$B$57,IF(Classements!D74=Critères!$C$58,Critères!$B$58,IF(Classements!D74=Critères!$C$59,Critères!$B$59,IF(Classements!D74=Critères!$C$60,Critères!$B$60,0))))</f>
        <v>g3.4</v>
      </c>
      <c r="D64" s="33" t="str">
        <f>IF(Classements!E74=Critères!$C$57,Critères!$B$57,IF(Classements!E74=Critères!$C$58,Critères!$B$58,IF(Classements!E74=Critères!$C$59,Critères!$B$59,IF(Classements!E74=Critères!$C$60,Critères!$B$60,0))))</f>
        <v>g3.3</v>
      </c>
      <c r="E64" s="34">
        <f>IF(Classements!F74=Critères!$C$57,Critères!$B$57,IF(Classements!F74=Critères!$C$58,Critères!$B$58,IF(Classements!F74=Critères!$C$59,Critères!$B$59,IF(Classements!F74=Critères!$C$60,Critères!$B$60,0))))</f>
        <v>0</v>
      </c>
      <c r="F64" s="46">
        <f t="shared" si="25"/>
        <v>1</v>
      </c>
      <c r="G64" s="46">
        <f t="shared" si="20"/>
        <v>1</v>
      </c>
      <c r="H64" s="34">
        <f>IF(OR(G63=0,G63="-"),G64,0)</f>
        <v>1</v>
      </c>
      <c r="I64" s="53">
        <f t="shared" si="23"/>
        <v>2</v>
      </c>
      <c r="J64" s="249"/>
      <c r="K64" s="136">
        <f t="shared" si="24"/>
        <v>2</v>
      </c>
      <c r="L64" s="65">
        <f>IF(C64=0,"-",IF(B64=1,1+$J$69*0,1+$J$69*(0+I63+I62+I61+I60+I59+I58+I57+I56+I55+I54+I53)))</f>
        <v>1</v>
      </c>
      <c r="Q64" s="76"/>
      <c r="U64" s="4"/>
      <c r="V64" s="4"/>
      <c r="W64" s="75"/>
      <c r="X64" s="4"/>
      <c r="Y64" s="4"/>
      <c r="Z64" s="75"/>
      <c r="AA64" s="4"/>
    </row>
    <row r="65" spans="2:32" x14ac:dyDescent="0.35">
      <c r="B65" s="136">
        <f t="shared" si="22"/>
        <v>2</v>
      </c>
      <c r="C65" s="137">
        <f>IF(Classements!D73=Critères!$C$57,Critères!$B$57,IF(Classements!D73=Critères!$C$58,Critères!$B$58,IF(Classements!D73=Critères!$C$59,Critères!$B$59,IF(Classements!D73=Critères!$C$60,Critères!$B$60,0))))</f>
        <v>0</v>
      </c>
      <c r="D65" s="33">
        <f>IF(Classements!E73=Critères!$C$57,Critères!$B$57,IF(Classements!E73=Critères!$C$58,Critères!$B$58,IF(Classements!E73=Critères!$C$59,Critères!$B$59,IF(Classements!E73=Critères!$C$60,Critères!$B$60,0))))</f>
        <v>0</v>
      </c>
      <c r="E65" s="34">
        <f>IF(Classements!F73=Critères!$C$57,Critères!$B$57,IF(Classements!F73=Critères!$C$58,Critères!$B$58,IF(Classements!F73=Critères!$C$59,Critères!$B$59,IF(Classements!F73=Critères!$C$60,Critères!$B$60,0))))</f>
        <v>0</v>
      </c>
      <c r="F65" s="46">
        <f>IF(B65=0,"-",IF(C66=0,1,0))</f>
        <v>0</v>
      </c>
      <c r="G65" s="46">
        <f t="shared" si="20"/>
        <v>0</v>
      </c>
      <c r="H65" s="34">
        <f t="shared" si="21"/>
        <v>0</v>
      </c>
      <c r="I65" s="53">
        <f t="shared" si="23"/>
        <v>1</v>
      </c>
      <c r="J65" s="249"/>
      <c r="K65" s="136" t="str">
        <f t="shared" si="24"/>
        <v>-</v>
      </c>
      <c r="L65" s="65" t="str">
        <f>IF(C65=0,"-",IF(B65=1,1+$J$69*0,1+$J$69*(0+I64+I63+I62+I61+I60+I59+I58+I57+I56+I55+I54+I53)))</f>
        <v>-</v>
      </c>
      <c r="U65" s="4"/>
      <c r="V65" s="4"/>
      <c r="W65" s="75"/>
      <c r="X65" s="4"/>
      <c r="Y65" s="4"/>
      <c r="Z65" s="75"/>
      <c r="AA65" s="4"/>
    </row>
    <row r="66" spans="2:32" x14ac:dyDescent="0.35">
      <c r="B66" s="136">
        <f t="shared" si="22"/>
        <v>3</v>
      </c>
      <c r="C66" s="137" t="str">
        <f>IF(Classements!D72=Critères!$C$57,Critères!$B$57,IF(Classements!D72=Critères!$C$58,Critères!$B$58,IF(Classements!D72=Critères!$C$59,Critères!$B$59,IF(Classements!D72=Critères!$C$60,Critères!$B$60,0))))</f>
        <v>g3.2</v>
      </c>
      <c r="D66" s="33">
        <f>IF(Classements!E72=Critères!$C$57,Critères!$B$57,IF(Classements!E72=Critères!$C$58,Critères!$B$58,IF(Classements!E72=Critères!$C$59,Critères!$B$59,IF(Classements!E72=Critères!$C$60,Critères!$B$60,0))))</f>
        <v>0</v>
      </c>
      <c r="E66" s="34">
        <f>IF(Classements!F72=Critères!$C$57,Critères!$B$57,IF(Classements!F72=Critères!$C$58,Critères!$B$58,IF(Classements!F72=Critères!$C$59,Critères!$B$59,IF(Classements!F72=Critères!$C$60,Critères!$B$60,0))))</f>
        <v>0</v>
      </c>
      <c r="F66" s="46">
        <f>IF(B66=0,"-",IF(C67=0,1,0))</f>
        <v>0</v>
      </c>
      <c r="G66" s="46">
        <f t="shared" si="20"/>
        <v>0</v>
      </c>
      <c r="H66" s="34">
        <f>IF(OR(G65=0,G65="-"),G66,0)</f>
        <v>0</v>
      </c>
      <c r="I66" s="53">
        <f t="shared" si="23"/>
        <v>1</v>
      </c>
      <c r="J66" s="249"/>
      <c r="K66" s="136">
        <f t="shared" si="24"/>
        <v>1</v>
      </c>
      <c r="L66" s="65">
        <f>IF(C66=0,"-",IF(B66=1,1+$J$69*0,1+$J$69*(0+I65+I64+I63+I62+I61+I60+I59+I58+I57+I56+I55+I54+I53)))</f>
        <v>2.8</v>
      </c>
      <c r="U66" s="4"/>
      <c r="V66" s="4"/>
      <c r="W66" s="75"/>
      <c r="X66" s="4"/>
      <c r="Y66" s="4"/>
      <c r="Z66" s="75"/>
      <c r="AA66" s="4"/>
    </row>
    <row r="67" spans="2:32" x14ac:dyDescent="0.35">
      <c r="B67" s="139">
        <f t="shared" si="22"/>
        <v>4</v>
      </c>
      <c r="C67" s="138" t="str">
        <f>IF(Classements!D71=Critères!$C$57,Critères!$B$57,IF(Classements!D71=Critères!$C$58,Critères!$B$58,IF(Classements!D71=Critères!$C$59,Critères!$B$59,IF(Classements!D71=Critères!$C$60,Critères!$B$60,0))))</f>
        <v>g3.1</v>
      </c>
      <c r="D67" s="35">
        <f>IF(Classements!E71=Critères!$C$57,Critères!$B$57,IF(Classements!E71=Critères!$C$58,Critères!$B$58,IF(Classements!E71=Critères!$C$59,Critères!$B$59,IF(Classements!E71=Critères!$C$60,Critères!$B$60,0))))</f>
        <v>0</v>
      </c>
      <c r="E67" s="47">
        <f>IF(Classements!F71=Critères!$C$57,Critères!$B$57,IF(Classements!F71=Critères!$C$58,Critères!$B$58,IF(Classements!F71=Critères!$C$59,Critères!$B$59,IF(Classements!F71=Critères!$C$60,Critères!$B$60,0))))</f>
        <v>0</v>
      </c>
      <c r="F67" s="35">
        <f>IF(B67=0,"-",IF(D69=0,1,0))</f>
        <v>0</v>
      </c>
      <c r="G67" s="35">
        <f>0</f>
        <v>0</v>
      </c>
      <c r="H67" s="47">
        <f>G67</f>
        <v>0</v>
      </c>
      <c r="I67" s="52">
        <f>IF(H67="-",0,H67+1)</f>
        <v>1</v>
      </c>
      <c r="J67" s="250"/>
      <c r="K67" s="139">
        <f t="shared" si="24"/>
        <v>1</v>
      </c>
      <c r="L67" s="74">
        <f>IF(C67=0,"-",IF(B67=1,1+$J$69*0,1+$J$69*(0+I66+I65+I64+I63+I62+I61+I60+I59+I58+I57+I56+I55+I54+I53)))</f>
        <v>3.4</v>
      </c>
      <c r="U67" s="4"/>
      <c r="V67" s="4"/>
      <c r="W67" s="75"/>
      <c r="X67" s="4"/>
      <c r="Y67" s="4"/>
      <c r="Z67" s="75"/>
      <c r="AA67" s="4"/>
    </row>
    <row r="68" spans="2:32" x14ac:dyDescent="0.35">
      <c r="B68" s="46"/>
      <c r="D68" s="33" t="s">
        <v>124</v>
      </c>
      <c r="E68" s="62"/>
      <c r="F68" s="46"/>
      <c r="G68" s="46"/>
      <c r="H68" s="46"/>
      <c r="I68" s="46" t="s">
        <v>106</v>
      </c>
      <c r="J68" s="46" t="s">
        <v>105</v>
      </c>
      <c r="K68" s="46"/>
      <c r="L68" s="39"/>
      <c r="U68" s="4"/>
      <c r="V68" s="4"/>
      <c r="W68" s="4"/>
      <c r="X68" s="4"/>
      <c r="Y68" s="4"/>
      <c r="Z68" s="4"/>
      <c r="AA68" s="4"/>
    </row>
    <row r="69" spans="2:32" x14ac:dyDescent="0.35">
      <c r="C69" s="4"/>
      <c r="D69" s="36">
        <f>COUNTIF(C53:E67,"&lt;&gt;0")</f>
        <v>4</v>
      </c>
      <c r="E69" s="54"/>
      <c r="I69" s="36">
        <f>SUM(I53:I67)</f>
        <v>5</v>
      </c>
      <c r="J69" s="37">
        <f>(J53-1)/I69</f>
        <v>0.6</v>
      </c>
      <c r="K69" s="46"/>
      <c r="L69" s="46"/>
    </row>
    <row r="70" spans="2:32" ht="15" thickBot="1" x14ac:dyDescent="0.4"/>
    <row r="71" spans="2:32" ht="24.5" thickTop="1" thickBot="1" x14ac:dyDescent="0.4">
      <c r="B71" s="280" t="s">
        <v>152</v>
      </c>
      <c r="C71" s="281"/>
      <c r="D71" s="281"/>
      <c r="E71" s="281"/>
      <c r="F71" s="281"/>
      <c r="G71" s="281"/>
      <c r="H71" s="281"/>
      <c r="I71" s="281"/>
      <c r="J71" s="281"/>
      <c r="K71" s="281"/>
      <c r="L71" s="281"/>
      <c r="M71" s="281"/>
      <c r="N71" s="281"/>
      <c r="O71" s="281"/>
      <c r="P71" s="281"/>
      <c r="Q71" s="281"/>
      <c r="R71" s="281"/>
      <c r="S71" s="281"/>
      <c r="T71" s="281"/>
      <c r="U71" s="281"/>
      <c r="V71" s="281"/>
      <c r="W71" s="281"/>
      <c r="X71" s="281"/>
      <c r="Y71" s="281"/>
      <c r="Z71" s="281"/>
      <c r="AA71" s="281"/>
      <c r="AB71" s="281"/>
      <c r="AC71" s="281"/>
      <c r="AD71" s="281"/>
      <c r="AE71" s="281"/>
      <c r="AF71" s="282"/>
    </row>
    <row r="72" spans="2:32" ht="15.5" thickTop="1" thickBot="1" x14ac:dyDescent="0.4"/>
    <row r="73" spans="2:32" ht="14.5" customHeight="1" x14ac:dyDescent="0.35">
      <c r="B73" s="257" t="s">
        <v>95</v>
      </c>
      <c r="C73" s="259" t="s">
        <v>0</v>
      </c>
      <c r="D73" s="260"/>
      <c r="E73" s="261"/>
      <c r="F73" s="259" t="s">
        <v>99</v>
      </c>
      <c r="G73" s="260"/>
      <c r="H73" s="261"/>
      <c r="I73" s="257" t="s">
        <v>98</v>
      </c>
      <c r="J73" s="257" t="s">
        <v>48</v>
      </c>
      <c r="K73" s="257" t="s">
        <v>100</v>
      </c>
      <c r="L73" s="253" t="s">
        <v>104</v>
      </c>
      <c r="O73" s="253" t="s">
        <v>0</v>
      </c>
      <c r="P73" s="253" t="s">
        <v>104</v>
      </c>
      <c r="Q73" s="253" t="s">
        <v>101</v>
      </c>
      <c r="R73" s="253" t="s">
        <v>102</v>
      </c>
      <c r="S73" s="253" t="s">
        <v>103</v>
      </c>
      <c r="T73" s="253" t="s">
        <v>123</v>
      </c>
      <c r="U73" s="253" t="s">
        <v>111</v>
      </c>
      <c r="V73" s="253" t="s">
        <v>143</v>
      </c>
      <c r="W73" s="257" t="s">
        <v>117</v>
      </c>
      <c r="X73" s="251" t="s">
        <v>128</v>
      </c>
      <c r="Y73" s="253" t="s">
        <v>144</v>
      </c>
      <c r="Z73" s="257" t="s">
        <v>126</v>
      </c>
      <c r="AA73" s="251" t="s">
        <v>127</v>
      </c>
      <c r="AB73" s="253" t="s">
        <v>112</v>
      </c>
      <c r="AC73" s="253" t="s">
        <v>113</v>
      </c>
      <c r="AD73" s="46"/>
      <c r="AE73" s="255" t="s">
        <v>129</v>
      </c>
    </row>
    <row r="74" spans="2:32" ht="15" thickBot="1" x14ac:dyDescent="0.4">
      <c r="B74" s="258"/>
      <c r="C74" s="262"/>
      <c r="D74" s="263"/>
      <c r="E74" s="264"/>
      <c r="F74" s="265"/>
      <c r="G74" s="266"/>
      <c r="H74" s="267"/>
      <c r="I74" s="258"/>
      <c r="J74" s="258"/>
      <c r="K74" s="252"/>
      <c r="L74" s="268"/>
      <c r="O74" s="268"/>
      <c r="P74" s="268"/>
      <c r="Q74" s="268"/>
      <c r="R74" s="268"/>
      <c r="S74" s="268"/>
      <c r="T74" s="268"/>
      <c r="U74" s="268"/>
      <c r="V74" s="254"/>
      <c r="W74" s="258"/>
      <c r="X74" s="269"/>
      <c r="Y74" s="254"/>
      <c r="Z74" s="258"/>
      <c r="AA74" s="252"/>
      <c r="AB74" s="254"/>
      <c r="AC74" s="254"/>
      <c r="AD74" s="46"/>
      <c r="AE74" s="256"/>
    </row>
    <row r="75" spans="2:32" x14ac:dyDescent="0.35">
      <c r="B75" s="63">
        <f>IF(C75=0,0,1)</f>
        <v>0</v>
      </c>
      <c r="C75" s="63">
        <f>IF(Classements!D108=Critères!$C$61,Critères!$B$61,IF(Classements!D108=Critères!$C$62,Critères!$B$62,IF(Classements!D108=Critères!$C$63,Critères!$B$63,0)))</f>
        <v>0</v>
      </c>
      <c r="D75" s="59">
        <f>IF(Classements!E108=Critères!$C$61,Critères!$B$61,IF(Classements!E108=Critères!$C$62,Critères!$B$62,IF(Classements!E108=Critères!$C$63,Critères!$B$63,0)))</f>
        <v>0</v>
      </c>
      <c r="E75" s="64">
        <f>IF(Classements!F108=Critères!$C$61,Critères!$B$61,IF(Classements!F108=Critères!$C$62,Critères!$B$62,IF(Classements!F108=Critères!$C$63,Critères!$B$63,0)))</f>
        <v>0</v>
      </c>
      <c r="F75" s="46" t="str">
        <f>IF(B75=0,"-",IF(C76=0,1,0))</f>
        <v>-</v>
      </c>
      <c r="G75" s="46" t="str">
        <f t="shared" ref="G75:G87" si="27">IF(F75="-","-",IF(F75=0,0,IF(G76&lt;&gt;0,G76+F75,F75)))</f>
        <v>-</v>
      </c>
      <c r="H75" s="34" t="str">
        <f t="shared" ref="H75:H87" si="28">IF(OR(G74=0,G74="-"),G75,0)</f>
        <v>-</v>
      </c>
      <c r="I75" s="136">
        <f>IF(H75="-",0,H75+1)</f>
        <v>0</v>
      </c>
      <c r="J75" s="249">
        <f>Classements!D110</f>
        <v>3</v>
      </c>
      <c r="K75" s="135" t="str">
        <f>IF(C75=0,"-",IF(D75=0,1,IF(E75=0,2,3)))</f>
        <v>-</v>
      </c>
      <c r="L75" s="73" t="str">
        <f>IF(C75=0,"-",1+$J$91*0)</f>
        <v>-</v>
      </c>
      <c r="N75" s="87">
        <v>1</v>
      </c>
      <c r="O75" s="135" t="s">
        <v>139</v>
      </c>
      <c r="P75" s="40">
        <f>INDEX($L$75:$L$89,coord($C$75:$E$89,O75))</f>
        <v>2.7142857142857144</v>
      </c>
      <c r="Q75" s="40">
        <f>(100/$P$79)*P75</f>
        <v>44.186046511627907</v>
      </c>
      <c r="R75" s="66">
        <f>TRUNC(Q75,$Q$79)</f>
        <v>44.18</v>
      </c>
      <c r="S75" s="40">
        <f>(10^(-$Q$79)-(Q75-R75))/Q75</f>
        <v>8.9473684210512414E-5</v>
      </c>
      <c r="T75" s="40">
        <f>(Q75-R75)/Q75</f>
        <v>1.368421052631718E-4</v>
      </c>
      <c r="U75" s="63">
        <f>IF(S75&gt;T75,1,0)</f>
        <v>0</v>
      </c>
      <c r="V75" s="135" t="str">
        <f>IF(U75=1,S75,"")</f>
        <v/>
      </c>
      <c r="W75" s="84" cm="1">
        <f t="array" ref="W75">IF(U79+S79&gt;O79,IF(W79=1,SMALL(V75:V77,{1}),IF(W79=2,SMALL(V75:V77,{1;2}),IF(W79=3,SMALL(V75:V77,{1;2;3}),IF(W79=4,SMALL(V75:V77,{1;2;3;4}),IF(W79=5,SMALL(V75:V77,{1;2;3;4;5}),IF(W79=6,SMALL(V75:V77,{1;2;3;4;5;6}),IF(W79=7,SMALL(V75:V77,{1;2;3;4;5;6;7}),IF(W79=8,SMALL(V75:V77,{1;2;3;4;5;6;7;8}))))))))),0)</f>
        <v>0</v>
      </c>
      <c r="X75" s="72">
        <f>IF(COUNTIF($W$75:$W$77,S75)&lt;&gt;0,1,0)</f>
        <v>0</v>
      </c>
      <c r="Y75" s="73">
        <f>IF(U75=0,T75,"")</f>
        <v>1.368421052631718E-4</v>
      </c>
      <c r="Z75" s="84" cm="1">
        <f t="array" ref="Z75">IF(U79+S79&lt;O79,IF(Z79=1,SMALL(Y75:Y77,{1}),IF(Z79=2,SMALL(Y75:Y77,{1;2}),IF(Z79=3,SMALL(Y75:Y77,{1;2;3}),IF(Z79=4,SMALL(Y75:Y77,{1;2;3;4}),IF(Z79=5,SMALL(Y75:Y77,{1;2;3;4;5}),IF(Z79=6,SMALL(Y75:Y77,{1;2;3;4;5;6}),IF(Z79=7,SMALL(Y75:Y77,{1;2;3;4;5;6;7}),IF(Z79=8,SMALL(Y75:Y77,{1;2;3;4;5;6;7;8}))))))))),0)</f>
        <v>0</v>
      </c>
      <c r="AA75" s="72">
        <f>IF(COUNTIF($Z$75:$Z$77,T75)&lt;&gt;0,1,0)</f>
        <v>0</v>
      </c>
      <c r="AB75" s="64">
        <f>IF($U$79+$S$79&gt;$O$79,IF(U75=0,1,IF(X75=1,1,0)),IF(AC75=1,0,1))</f>
        <v>1</v>
      </c>
      <c r="AC75" s="135">
        <f>IF($U$79+$S$79&lt;=$O$79,IF(U75=1,1,IF(AA75=1,1,0)),IF(AB75=1,0,1))</f>
        <v>0</v>
      </c>
      <c r="AD75" s="46"/>
      <c r="AE75" s="94">
        <f>IF(AND(AB75=0,AC75=1),ROUNDDOWN(Q75,$Q$58),ROUNDUP(Q75,$Q$58))</f>
        <v>44.19</v>
      </c>
    </row>
    <row r="76" spans="2:32" x14ac:dyDescent="0.35">
      <c r="B76" s="137">
        <f>IF(B75=0,IF(C76=0,0,1),B75+1)</f>
        <v>0</v>
      </c>
      <c r="C76" s="137">
        <f>IF(Classements!D107=Critères!$C$61,Critères!$B$61,IF(Classements!D107=Critères!$C$62,Critères!$B$62,IF(Classements!D107=Critères!$C$63,Critères!$B$63,0)))</f>
        <v>0</v>
      </c>
      <c r="D76" s="33">
        <f>IF(Classements!E107=Critères!$C$61,Critères!$B$61,IF(Classements!E107=Critères!$C$62,Critères!$B$62,IF(Classements!E107=Critères!$C$63,Critères!$B$63,0)))</f>
        <v>0</v>
      </c>
      <c r="E76" s="34">
        <f>IF(Classements!F107=Critères!$C$61,Critères!$B$61,IF(Classements!F107=Critères!$C$62,Critères!$B$62,IF(Classements!F107=Critères!$C$63,Critères!$B$63,0)))</f>
        <v>0</v>
      </c>
      <c r="F76" s="46" t="str">
        <f>IF(B76=0,"-",IF(C77=0,1,0))</f>
        <v>-</v>
      </c>
      <c r="G76" s="46" t="str">
        <f t="shared" si="27"/>
        <v>-</v>
      </c>
      <c r="H76" s="34" t="str">
        <f>IF(OR(G75=0,G75="-"),G76,0)</f>
        <v>-</v>
      </c>
      <c r="I76" s="136">
        <f t="shared" ref="I76:I89" si="29">IF(H76="-",0,H76+1)</f>
        <v>0</v>
      </c>
      <c r="J76" s="249"/>
      <c r="K76" s="136" t="str">
        <f>IF(C76=0,"-",IF(D76=0,1,IF(E76=0,2,3)))</f>
        <v>-</v>
      </c>
      <c r="L76" s="65" t="str">
        <f>IF(C76=0,"-",IF(B76=1,1+$J$91*0,1+$J$91*(0+I75)))</f>
        <v>-</v>
      </c>
      <c r="N76" s="88">
        <v>2</v>
      </c>
      <c r="O76" s="136" t="s">
        <v>140</v>
      </c>
      <c r="P76" s="41">
        <f>INDEX($L$75:$L$89,coord($C$75:$E$89,O76))</f>
        <v>2.4285714285714284</v>
      </c>
      <c r="Q76" s="41">
        <f>(100/$P$79)*P76</f>
        <v>39.534883720930232</v>
      </c>
      <c r="R76" s="67">
        <f>TRUNC(Q76,$Q$79)</f>
        <v>39.53</v>
      </c>
      <c r="S76" s="41">
        <f>(10^(-$Q$79)-(Q76-R76))/Q76</f>
        <v>1.2941176470593203E-4</v>
      </c>
      <c r="T76" s="41">
        <f>(Q76-R76)/Q76</f>
        <v>1.2352941176465624E-4</v>
      </c>
      <c r="U76" s="137">
        <f>IF(S76&gt;T76,1,0)</f>
        <v>1</v>
      </c>
      <c r="V76" s="136">
        <f>IF(U76=1,S76,"")</f>
        <v>1.2941176470593203E-4</v>
      </c>
      <c r="W76" s="75"/>
      <c r="X76" s="136">
        <f>IF(COUNTIF($W$75:$W$77,S76)&lt;&gt;0,IF(SUM(X75)&gt;=W79,0,1),0)</f>
        <v>0</v>
      </c>
      <c r="Y76" s="65" t="str">
        <f>IF(U76=0,T76,"")</f>
        <v/>
      </c>
      <c r="Z76" s="75"/>
      <c r="AA76" s="136">
        <f>IF(COUNTIF($Z$75:$Z$77,T76)&lt;&gt;0,IF(SUM(AA75)&gt;=Z79,0,1),0)</f>
        <v>0</v>
      </c>
      <c r="AB76" s="34">
        <f>IF($U$79+$S$79&gt;$O$79,IF(U76=0,1,IF(X76=1,1,0)),IF(AC76=1,0,1))</f>
        <v>0</v>
      </c>
      <c r="AC76" s="136">
        <f>IF($U$79+$S$79&lt;=$O$79,IF(U76=1,1,IF(AA76=1,1,0)),IF(AB76=1,0,1))</f>
        <v>1</v>
      </c>
      <c r="AD76" s="46"/>
      <c r="AE76" s="95">
        <f>IF(AND(AB76=0,AC76=1),ROUNDDOWN(Q76,$Q$58),ROUNDUP(Q76,$Q$58))</f>
        <v>39.53</v>
      </c>
    </row>
    <row r="77" spans="2:32" ht="15" thickBot="1" x14ac:dyDescent="0.4">
      <c r="B77" s="137">
        <f t="shared" ref="B77:B89" si="30">IF(B76=0,IF(C77=0,0,1),B76+1)</f>
        <v>0</v>
      </c>
      <c r="C77" s="137">
        <f>IF(Classements!D106=Critères!$C$61,Critères!$B$61,IF(Classements!D106=Critères!$C$62,Critères!$B$62,IF(Classements!D106=Critères!$C$63,Critères!$B$63,0)))</f>
        <v>0</v>
      </c>
      <c r="D77" s="33">
        <f>IF(Classements!E106=Critères!$C$61,Critères!$B$61,IF(Classements!E106=Critères!$C$62,Critères!$B$62,IF(Classements!E106=Critères!$C$63,Critères!$B$63,0)))</f>
        <v>0</v>
      </c>
      <c r="E77" s="34">
        <f>IF(Classements!F106=Critères!$C$61,Critères!$B$61,IF(Classements!F106=Critères!$C$62,Critères!$B$62,IF(Classements!F106=Critères!$C$63,Critères!$B$63,0)))</f>
        <v>0</v>
      </c>
      <c r="F77" s="46" t="str">
        <f>IF(B77=0,"-",IF(C78=0,1,0))</f>
        <v>-</v>
      </c>
      <c r="G77" s="46" t="str">
        <f t="shared" si="27"/>
        <v>-</v>
      </c>
      <c r="H77" s="34" t="str">
        <f>IF(OR(G76=0,G76="-"),G77,0)</f>
        <v>-</v>
      </c>
      <c r="I77" s="136">
        <f t="shared" si="29"/>
        <v>0</v>
      </c>
      <c r="J77" s="249"/>
      <c r="K77" s="136" t="str">
        <f>IF(C77=0,"-",IF(D77=0,1,IF(E77=0,2,3)))</f>
        <v>-</v>
      </c>
      <c r="L77" s="65" t="str">
        <f>IF(C77=0,"-",IF(B77=1,1+$J$91*0,1+$J$91*(0+I76+I75)))</f>
        <v>-</v>
      </c>
      <c r="N77" s="89">
        <v>3</v>
      </c>
      <c r="O77" s="139" t="s">
        <v>188</v>
      </c>
      <c r="P77" s="42">
        <f>INDEX($L$75:$L$89,coord($C$75:$E$89,O77))</f>
        <v>1</v>
      </c>
      <c r="Q77" s="42">
        <f>(100/$P$79)*P77</f>
        <v>16.279069767441861</v>
      </c>
      <c r="R77" s="68">
        <f>TRUNC(Q77,$Q$79)</f>
        <v>16.27</v>
      </c>
      <c r="S77" s="42">
        <f>(10^(-$Q$79)-(Q77-R77))/Q77</f>
        <v>5.7142857142800512E-5</v>
      </c>
      <c r="T77" s="42">
        <f>(Q77-R77)/Q77</f>
        <v>5.5714285714291377E-4</v>
      </c>
      <c r="U77" s="138">
        <f>IF(S77&gt;T77,1,0)</f>
        <v>0</v>
      </c>
      <c r="V77" s="139" t="str">
        <f>IF(U77=1,S77,"")</f>
        <v/>
      </c>
      <c r="W77" s="85"/>
      <c r="X77" s="139">
        <f>IF(COUNTIF($W$75:$W$77,S77)&lt;&gt;0,IF(SUM(X75:X76)&gt;=W79,0,1),0)</f>
        <v>0</v>
      </c>
      <c r="Y77" s="74">
        <f>IF(U77=0,T77,"")</f>
        <v>5.5714285714291377E-4</v>
      </c>
      <c r="Z77" s="85"/>
      <c r="AA77" s="139">
        <f>IF(COUNTIF($Z$75:$Z$77,T77)&lt;&gt;0,IF(SUM(AA75:AA76)&gt;=Z79,0,1),0)</f>
        <v>0</v>
      </c>
      <c r="AB77" s="47">
        <f>IF($U$79+$S$79&gt;$O$79,IF(U77=0,1,IF(X77=1,1,0)),IF(AC77=1,0,1))</f>
        <v>1</v>
      </c>
      <c r="AC77" s="139">
        <f>IF($U$79+$S$79&lt;=$O$79,IF(U77=1,1,IF(AA77=1,1,0)),IF(AB77=1,0,1))</f>
        <v>0</v>
      </c>
      <c r="AD77" s="46"/>
      <c r="AE77" s="96">
        <f>IF(AND(AB77=0,AC77=1),ROUNDDOWN(Q77,$Q$58),ROUNDUP(Q77,$Q$58))</f>
        <v>16.28</v>
      </c>
    </row>
    <row r="78" spans="2:32" ht="15" thickBot="1" x14ac:dyDescent="0.4">
      <c r="B78" s="137">
        <f t="shared" si="30"/>
        <v>0</v>
      </c>
      <c r="C78" s="137">
        <f>IF(Classements!D105=Critères!$C$61,Critères!$B$61,IF(Classements!D105=Critères!$C$62,Critères!$B$62,IF(Classements!D105=Critères!$C$63,Critères!$B$63,0)))</f>
        <v>0</v>
      </c>
      <c r="D78" s="33">
        <f>IF(Classements!E105=Critères!$C$61,Critères!$B$61,IF(Classements!E105=Critères!$C$62,Critères!$B$62,IF(Classements!E105=Critères!$C$63,Critères!$B$63,0)))</f>
        <v>0</v>
      </c>
      <c r="E78" s="34">
        <f>IF(Classements!F105=Critères!$C$61,Critères!$B$61,IF(Classements!F105=Critères!$C$62,Critères!$B$62,IF(Classements!F105=Critères!$C$63,Critères!$B$63,0)))</f>
        <v>0</v>
      </c>
      <c r="F78" s="46" t="str">
        <f t="shared" ref="F78:F87" si="31">IF(B78=0,"-",IF(C79=0,1,0))</f>
        <v>-</v>
      </c>
      <c r="G78" s="46" t="str">
        <f t="shared" si="27"/>
        <v>-</v>
      </c>
      <c r="H78" s="34" t="str">
        <f>IF(OR(G77=0,G77="-"),G78,0)</f>
        <v>-</v>
      </c>
      <c r="I78" s="136">
        <f t="shared" si="29"/>
        <v>0</v>
      </c>
      <c r="J78" s="249"/>
      <c r="K78" s="136" t="str">
        <f>IF(C78=0,"-",IF(D78=0,1,IF(E78=0,2,3)))</f>
        <v>-</v>
      </c>
      <c r="L78" s="65" t="str">
        <f>IF(C78=0,"-",IF(B78=1,1+$J$91*0,1+$J$91*(0+I77+I76+I75)))</f>
        <v>-</v>
      </c>
      <c r="O78" s="46" t="s">
        <v>124</v>
      </c>
      <c r="P78" s="46" t="s">
        <v>114</v>
      </c>
      <c r="Q78" s="46" t="s">
        <v>107</v>
      </c>
      <c r="R78" s="46" t="s">
        <v>108</v>
      </c>
      <c r="S78" s="60" t="s">
        <v>109</v>
      </c>
      <c r="T78" s="46"/>
      <c r="U78" s="44" t="s">
        <v>110</v>
      </c>
      <c r="V78" s="44"/>
      <c r="W78" s="46" t="s">
        <v>142</v>
      </c>
      <c r="X78" s="33"/>
      <c r="Y78" s="33"/>
      <c r="Z78" s="46" t="s">
        <v>125</v>
      </c>
      <c r="AA78" s="33"/>
      <c r="AB78" s="44" t="s">
        <v>115</v>
      </c>
      <c r="AC78" s="44" t="s">
        <v>116</v>
      </c>
      <c r="AE78" s="97"/>
    </row>
    <row r="79" spans="2:32" ht="15" thickBot="1" x14ac:dyDescent="0.4">
      <c r="B79" s="137">
        <f t="shared" si="30"/>
        <v>0</v>
      </c>
      <c r="C79" s="137">
        <f>IF(Classements!D104=Critères!$C$61,Critères!$B$61,IF(Classements!D104=Critères!$C$62,Critères!$B$62,IF(Classements!D104=Critères!$C$63,Critères!$B$63,0)))</f>
        <v>0</v>
      </c>
      <c r="D79" s="33">
        <f>IF(Classements!E104=Critères!$C$61,Critères!$B$61,IF(Classements!E104=Critères!$C$62,Critères!$B$62,IF(Classements!E104=Critères!$C$63,Critères!$B$63,0)))</f>
        <v>0</v>
      </c>
      <c r="E79" s="34">
        <f>IF(Classements!F104=Critères!$C$61,Critères!$B$61,IF(Classements!F104=Critères!$C$62,Critères!$B$62,IF(Classements!F104=Critères!$C$63,Critères!$B$63,0)))</f>
        <v>0</v>
      </c>
      <c r="F79" s="46" t="str">
        <f t="shared" si="31"/>
        <v>-</v>
      </c>
      <c r="G79" s="46" t="str">
        <f t="shared" si="27"/>
        <v>-</v>
      </c>
      <c r="H79" s="34" t="str">
        <f t="shared" si="28"/>
        <v>-</v>
      </c>
      <c r="I79" s="136">
        <f t="shared" si="29"/>
        <v>0</v>
      </c>
      <c r="J79" s="249"/>
      <c r="K79" s="136" t="str">
        <f t="shared" ref="K79:K89" si="32">IF(C79=0,"-",IF(D79=0,1,IF(E79=0,2,3)))</f>
        <v>-</v>
      </c>
      <c r="L79" s="65" t="str">
        <f>IF(C79=0,"-",IF(B79=1,1+$J$91*0,1+$J$91*(0+I78+I77+I76+I75)))</f>
        <v>-</v>
      </c>
      <c r="O79" s="36">
        <f>COUNTIF(O75:O77,"&lt;&gt;0")</f>
        <v>3</v>
      </c>
      <c r="P79" s="37">
        <f>SUM(P75:P77)</f>
        <v>6.1428571428571423</v>
      </c>
      <c r="Q79" s="36">
        <v>2</v>
      </c>
      <c r="R79" s="45">
        <f>SUM(R75:R77)</f>
        <v>99.98</v>
      </c>
      <c r="S79" s="71">
        <f>ROUND(10^(Q79)*(100-R79),0)</f>
        <v>2</v>
      </c>
      <c r="T79" s="50"/>
      <c r="U79" s="38">
        <f>SUM(U75:U77)</f>
        <v>1</v>
      </c>
      <c r="V79" s="92"/>
      <c r="W79" s="49">
        <f>S79+U79-O79</f>
        <v>0</v>
      </c>
      <c r="X79" s="56"/>
      <c r="Y79" s="56"/>
      <c r="Z79" s="49">
        <f>O79-S79-U79</f>
        <v>0</v>
      </c>
      <c r="AA79" s="57"/>
      <c r="AB79" s="48">
        <f>IF(SUM(AB75:AB77)=S79,S79,"ERREUR")</f>
        <v>2</v>
      </c>
      <c r="AC79" s="48">
        <f>IF(SUM(AC75:AC77)=O79-S79,O79-S79,"ERREUR")</f>
        <v>1</v>
      </c>
      <c r="AE79" s="61">
        <f>SUM(AE75:AE77)</f>
        <v>100</v>
      </c>
    </row>
    <row r="80" spans="2:32" x14ac:dyDescent="0.35">
      <c r="B80" s="137">
        <f>IF(B79=0,IF(C80=0,0,1),B79+1)</f>
        <v>0</v>
      </c>
      <c r="C80" s="137">
        <f>IF(Classements!D103=Critères!$C$61,Critères!$B$61,IF(Classements!D103=Critères!$C$62,Critères!$B$62,IF(Classements!D103=Critères!$C$63,Critères!$B$63,0)))</f>
        <v>0</v>
      </c>
      <c r="D80" s="33">
        <f>IF(Classements!E103=Critères!$C$61,Critères!$B$61,IF(Classements!E103=Critères!$C$62,Critères!$B$62,IF(Classements!E103=Critères!$C$63,Critères!$B$63,0)))</f>
        <v>0</v>
      </c>
      <c r="E80" s="34">
        <f>IF(Classements!F103=Critères!$C$61,Critères!$B$61,IF(Classements!F103=Critères!$C$62,Critères!$B$62,IF(Classements!F103=Critères!$C$63,Critères!$B$63,0)))</f>
        <v>0</v>
      </c>
      <c r="F80" s="46" t="str">
        <f t="shared" si="31"/>
        <v>-</v>
      </c>
      <c r="G80" s="46" t="str">
        <f t="shared" si="27"/>
        <v>-</v>
      </c>
      <c r="H80" s="34" t="str">
        <f t="shared" si="28"/>
        <v>-</v>
      </c>
      <c r="I80" s="136">
        <f t="shared" si="29"/>
        <v>0</v>
      </c>
      <c r="J80" s="249"/>
      <c r="K80" s="136" t="str">
        <f t="shared" si="32"/>
        <v>-</v>
      </c>
      <c r="L80" s="65" t="str">
        <f>IF(C80=0,"-",IF(B80=1,1+$J$91*0,1+$J$91*(0+I79+I78+I77+I76+I75)))</f>
        <v>-</v>
      </c>
    </row>
    <row r="81" spans="2:32" x14ac:dyDescent="0.35">
      <c r="B81" s="137">
        <f t="shared" si="30"/>
        <v>0</v>
      </c>
      <c r="C81" s="137">
        <f>IF(Classements!D102=Critères!$C$61,Critères!$B$61,IF(Classements!D102=Critères!$C$62,Critères!$B$62,IF(Classements!D102=Critères!$C$63,Critères!$B$63,0)))</f>
        <v>0</v>
      </c>
      <c r="D81" s="33">
        <f>IF(Classements!E102=Critères!$C$61,Critères!$B$61,IF(Classements!E102=Critères!$C$62,Critères!$B$62,IF(Classements!E102=Critères!$C$63,Critères!$B$63,0)))</f>
        <v>0</v>
      </c>
      <c r="E81" s="34">
        <f>IF(Classements!F102=Critères!$C$61,Critères!$B$61,IF(Classements!F102=Critères!$C$62,Critères!$B$62,IF(Classements!F102=Critères!$C$63,Critères!$B$63,0)))</f>
        <v>0</v>
      </c>
      <c r="F81" s="46" t="str">
        <f t="shared" si="31"/>
        <v>-</v>
      </c>
      <c r="G81" s="46" t="str">
        <f t="shared" si="27"/>
        <v>-</v>
      </c>
      <c r="H81" s="34" t="str">
        <f t="shared" si="28"/>
        <v>-</v>
      </c>
      <c r="I81" s="136">
        <f t="shared" si="29"/>
        <v>0</v>
      </c>
      <c r="J81" s="249"/>
      <c r="K81" s="136" t="str">
        <f t="shared" si="32"/>
        <v>-</v>
      </c>
      <c r="L81" s="65" t="str">
        <f>IF(C81=0,"-",IF(B81=1,1+$J$91*0,1+$J$91*(0+I80+I79+I78+I77+I76+I75)))</f>
        <v>-</v>
      </c>
      <c r="O81" s="43"/>
      <c r="P81" s="46"/>
      <c r="R81" s="69"/>
      <c r="U81" s="4"/>
      <c r="V81" s="4"/>
      <c r="W81" s="77"/>
      <c r="X81" s="4"/>
      <c r="Y81" s="4"/>
      <c r="Z81" s="77"/>
      <c r="AA81" s="75"/>
      <c r="AB81" s="46"/>
      <c r="AC81" s="46"/>
    </row>
    <row r="82" spans="2:32" x14ac:dyDescent="0.35">
      <c r="B82" s="137">
        <f t="shared" si="30"/>
        <v>0</v>
      </c>
      <c r="C82" s="137">
        <f>IF(Classements!D101=Critères!$C$61,Critères!$B$61,IF(Classements!D101=Critères!$C$62,Critères!$B$62,IF(Classements!D101=Critères!$C$63,Critères!$B$63,0)))</f>
        <v>0</v>
      </c>
      <c r="D82" s="33">
        <f>IF(Classements!E101=Critères!$C$61,Critères!$B$61,IF(Classements!E101=Critères!$C$62,Critères!$B$62,IF(Classements!E101=Critères!$C$63,Critères!$B$63,0)))</f>
        <v>0</v>
      </c>
      <c r="E82" s="34">
        <f>IF(Classements!F101=Critères!$C$61,Critères!$B$61,IF(Classements!F101=Critères!$C$62,Critères!$B$62,IF(Classements!F101=Critères!$C$63,Critères!$B$63,0)))</f>
        <v>0</v>
      </c>
      <c r="F82" s="46" t="str">
        <f t="shared" si="31"/>
        <v>-</v>
      </c>
      <c r="G82" s="46" t="str">
        <f t="shared" si="27"/>
        <v>-</v>
      </c>
      <c r="H82" s="34" t="str">
        <f t="shared" si="28"/>
        <v>-</v>
      </c>
      <c r="I82" s="136">
        <f t="shared" si="29"/>
        <v>0</v>
      </c>
      <c r="J82" s="249"/>
      <c r="K82" s="136" t="str">
        <f t="shared" si="32"/>
        <v>-</v>
      </c>
      <c r="L82" s="65" t="str">
        <f>IF(C82=0,"-",IF(B82=1,1+$J$91*0,1+$J$91*(0+I81+I80+I79+I78+I77+I76+I75)))</f>
        <v>-</v>
      </c>
    </row>
    <row r="83" spans="2:32" x14ac:dyDescent="0.35">
      <c r="B83" s="137">
        <f t="shared" si="30"/>
        <v>0</v>
      </c>
      <c r="C83" s="137">
        <f>IF(Classements!D100=Critères!$C$61,Critères!$B$61,IF(Classements!D100=Critères!$C$62,Critères!$B$62,IF(Classements!D100=Critères!$C$63,Critères!$B$63,0)))</f>
        <v>0</v>
      </c>
      <c r="D83" s="33">
        <f>IF(Classements!E100=Critères!$C$61,Critères!$B$61,IF(Classements!E100=Critères!$C$62,Critères!$B$62,IF(Classements!E100=Critères!$C$63,Critères!$B$63,0)))</f>
        <v>0</v>
      </c>
      <c r="E83" s="34">
        <f>IF(Classements!F100=Critères!$C$61,Critères!$B$61,IF(Classements!F100=Critères!$C$62,Critères!$B$62,IF(Classements!F100=Critères!$C$63,Critères!$B$63,0)))</f>
        <v>0</v>
      </c>
      <c r="F83" s="46" t="str">
        <f t="shared" si="31"/>
        <v>-</v>
      </c>
      <c r="G83" s="46" t="str">
        <f t="shared" si="27"/>
        <v>-</v>
      </c>
      <c r="H83" s="34" t="str">
        <f t="shared" si="28"/>
        <v>-</v>
      </c>
      <c r="I83" s="136">
        <f t="shared" si="29"/>
        <v>0</v>
      </c>
      <c r="J83" s="249"/>
      <c r="K83" s="136" t="str">
        <f>IF(C83=0,"-",IF(D83=0,1,IF(E83=0,2,3)))</f>
        <v>-</v>
      </c>
      <c r="L83" s="65" t="str">
        <f>IF(C83=0,"-",IF(B83=1,1+$J$91*0,1+$J$91*(0+I82+I81+I80+I79+I78+I77+I76+I75)))</f>
        <v>-</v>
      </c>
    </row>
    <row r="84" spans="2:32" x14ac:dyDescent="0.35">
      <c r="B84" s="137">
        <f t="shared" si="30"/>
        <v>0</v>
      </c>
      <c r="C84" s="137">
        <f>IF(Classements!D99=Critères!$C$61,Critères!$B$61,IF(Classements!D99=Critères!$C$62,Critères!$B$62,IF(Classements!D99=Critères!$C$63,Critères!$B$63,0)))</f>
        <v>0</v>
      </c>
      <c r="D84" s="33">
        <f>IF(Classements!E99=Critères!$C$61,Critères!$B$61,IF(Classements!E99=Critères!$C$62,Critères!$B$62,IF(Classements!E99=Critères!$C$63,Critères!$B$63,0)))</f>
        <v>0</v>
      </c>
      <c r="E84" s="34">
        <f>IF(Classements!F99=Critères!$C$61,Critères!$B$61,IF(Classements!F99=Critères!$C$62,Critères!$B$62,IF(Classements!F99=Critères!$C$63,Critères!$B$63,0)))</f>
        <v>0</v>
      </c>
      <c r="F84" s="46" t="str">
        <f t="shared" si="31"/>
        <v>-</v>
      </c>
      <c r="G84" s="46" t="str">
        <f t="shared" si="27"/>
        <v>-</v>
      </c>
      <c r="H84" s="34" t="str">
        <f t="shared" si="28"/>
        <v>-</v>
      </c>
      <c r="I84" s="136">
        <f t="shared" si="29"/>
        <v>0</v>
      </c>
      <c r="J84" s="249"/>
      <c r="K84" s="136" t="str">
        <f>IF(C84=0,"-",IF(D84=0,1,IF(E84=0,2,3)))</f>
        <v>-</v>
      </c>
      <c r="L84" s="65" t="str">
        <f>IF(C84=0,"-",IF(B84=1,1+$J$91*0,1+$J$91*(0+I83+I82+I81+I80+I79+I78+I77+I76+I75)))</f>
        <v>-</v>
      </c>
    </row>
    <row r="85" spans="2:32" x14ac:dyDescent="0.35">
      <c r="B85" s="137">
        <f t="shared" si="30"/>
        <v>1</v>
      </c>
      <c r="C85" s="137" t="str">
        <f>IF(Classements!D98=Critères!$C$61,Critères!$B$61,IF(Classements!D98=Critères!$C$62,Critères!$B$62,IF(Classements!D98=Critères!$C$63,Critères!$B$63,0)))</f>
        <v>g4.3</v>
      </c>
      <c r="D85" s="33">
        <f>IF(Classements!E98=Critères!$C$61,Critères!$B$61,IF(Classements!E98=Critères!$C$62,Critères!$B$62,IF(Classements!E98=Critères!$C$63,Critères!$B$63,0)))</f>
        <v>0</v>
      </c>
      <c r="E85" s="34">
        <f>IF(Classements!F98=Critères!$C$61,Critères!$B$61,IF(Classements!F98=Critères!$C$62,Critères!$B$62,IF(Classements!F98=Critères!$C$63,Critères!$B$63,0)))</f>
        <v>0</v>
      </c>
      <c r="F85" s="46">
        <f t="shared" si="31"/>
        <v>1</v>
      </c>
      <c r="G85" s="46">
        <f t="shared" si="27"/>
        <v>2</v>
      </c>
      <c r="H85" s="34">
        <f t="shared" si="28"/>
        <v>2</v>
      </c>
      <c r="I85" s="136">
        <f t="shared" si="29"/>
        <v>3</v>
      </c>
      <c r="J85" s="249"/>
      <c r="K85" s="136">
        <f t="shared" si="32"/>
        <v>1</v>
      </c>
      <c r="L85" s="65">
        <f>IF(C85=0,"-",IF(B85=1,1+$J$91*0,1+$J$91*(0+I84+I83+I82+I81+I80+I79+I78+I77+I76+I75)))</f>
        <v>1</v>
      </c>
    </row>
    <row r="86" spans="2:32" x14ac:dyDescent="0.35">
      <c r="B86" s="137">
        <f t="shared" si="30"/>
        <v>2</v>
      </c>
      <c r="C86" s="137">
        <f>IF(Classements!D97=Critères!$C$61,Critères!$B$61,IF(Classements!D97=Critères!$C$62,Critères!$B$62,IF(Classements!D97=Critères!$C$63,Critères!$B$63,0)))</f>
        <v>0</v>
      </c>
      <c r="D86" s="33">
        <f>IF(Classements!E97=Critères!$C$61,Critères!$B$61,IF(Classements!E97=Critères!$C$62,Critères!$B$62,IF(Classements!E97=Critères!$C$63,Critères!$B$63,0)))</f>
        <v>0</v>
      </c>
      <c r="E86" s="34">
        <f>IF(Classements!F97=Critères!$C$61,Critères!$B$61,IF(Classements!F97=Critères!$C$62,Critères!$B$62,IF(Classements!F97=Critères!$C$63,Critères!$B$63,0)))</f>
        <v>0</v>
      </c>
      <c r="F86" s="46">
        <f t="shared" si="31"/>
        <v>1</v>
      </c>
      <c r="G86" s="46">
        <f t="shared" si="27"/>
        <v>1</v>
      </c>
      <c r="H86" s="34">
        <f t="shared" si="28"/>
        <v>0</v>
      </c>
      <c r="I86" s="136">
        <f t="shared" si="29"/>
        <v>1</v>
      </c>
      <c r="J86" s="249"/>
      <c r="K86" s="136" t="str">
        <f t="shared" si="32"/>
        <v>-</v>
      </c>
      <c r="L86" s="65" t="str">
        <f>IF(C86=0,"-",IF(B86=1,1+$J$91*0,1+$J$91*(0+I85+I84+I83+I82+I81+I80+I79+I78+I77+I76+I75)))</f>
        <v>-</v>
      </c>
    </row>
    <row r="87" spans="2:32" x14ac:dyDescent="0.35">
      <c r="B87" s="137">
        <f t="shared" si="30"/>
        <v>3</v>
      </c>
      <c r="C87" s="137">
        <f>IF(Classements!D96=Critères!$C$61,Critères!$B$61,IF(Classements!D96=Critères!$C$62,Critères!$B$62,IF(Classements!D96=Critères!$C$63,Critères!$B$63,0)))</f>
        <v>0</v>
      </c>
      <c r="D87" s="33">
        <f>IF(Classements!E96=Critères!$C$61,Critères!$B$61,IF(Classements!E96=Critères!$C$62,Critères!$B$62,IF(Classements!E96=Critères!$C$63,Critères!$B$63,0)))</f>
        <v>0</v>
      </c>
      <c r="E87" s="34">
        <f>IF(Classements!F96=Critères!$C$61,Critères!$B$61,IF(Classements!F96=Critères!$C$62,Critères!$B$62,IF(Classements!F96=Critères!$C$63,Critères!$B$63,0)))</f>
        <v>0</v>
      </c>
      <c r="F87" s="46">
        <f t="shared" si="31"/>
        <v>0</v>
      </c>
      <c r="G87" s="46">
        <f t="shared" si="27"/>
        <v>0</v>
      </c>
      <c r="H87" s="34">
        <f t="shared" si="28"/>
        <v>0</v>
      </c>
      <c r="I87" s="136">
        <f t="shared" si="29"/>
        <v>1</v>
      </c>
      <c r="J87" s="249"/>
      <c r="K87" s="136" t="str">
        <f t="shared" si="32"/>
        <v>-</v>
      </c>
      <c r="L87" s="65" t="str">
        <f>IF(C87=0,"-",IF(B87=1,1+$J$91*0,1+$J$91*(0+I86+I85+I84+I83+I82+I81+I80+I79+I78+I77+I76+I75)))</f>
        <v>-</v>
      </c>
    </row>
    <row r="88" spans="2:32" x14ac:dyDescent="0.35">
      <c r="B88" s="137">
        <f t="shared" si="30"/>
        <v>4</v>
      </c>
      <c r="C88" s="137" t="str">
        <f>IF(Classements!D95=Critères!$C$61,Critères!$B$61,IF(Classements!D95=Critères!$C$62,Critères!$B$62,IF(Classements!D95=Critères!$C$63,Critères!$B$63,0)))</f>
        <v>g4.2</v>
      </c>
      <c r="D88" s="33">
        <f>IF(Classements!E95=Critères!$C$61,Critères!$B$61,IF(Classements!E95=Critères!$C$62,Critères!$B$62,IF(Classements!E95=Critères!$C$63,Critères!$B$63,0)))</f>
        <v>0</v>
      </c>
      <c r="E88" s="34">
        <f>IF(Classements!F95=Critères!$C$61,Critères!$B$61,IF(Classements!F95=Critères!$C$62,Critères!$B$62,IF(Classements!F95=Critères!$C$63,Critères!$B$63,0)))</f>
        <v>0</v>
      </c>
      <c r="F88" s="46">
        <f>IF(B88=0,"-",IF(C89=0,1,0))</f>
        <v>0</v>
      </c>
      <c r="G88" s="46">
        <f>IF(F88="-","-",IF(F88=0,0,IF(G89&lt;&gt;0,G89+F88,F88)))</f>
        <v>0</v>
      </c>
      <c r="H88" s="34">
        <f>IF(OR(G87=0,G87="-"),G88,0)</f>
        <v>0</v>
      </c>
      <c r="I88" s="136">
        <f t="shared" si="29"/>
        <v>1</v>
      </c>
      <c r="J88" s="249"/>
      <c r="K88" s="136">
        <f t="shared" si="32"/>
        <v>1</v>
      </c>
      <c r="L88" s="65">
        <f>IF(C88=0,"-",IF(B88=1,1+$J$91*0,1+$J$91*(0+I87+I86+I85+I84+I83+I82+I81+I80+I79+I78+I77+I76+I75)))</f>
        <v>2.4285714285714284</v>
      </c>
    </row>
    <row r="89" spans="2:32" x14ac:dyDescent="0.35">
      <c r="B89" s="138">
        <f t="shared" si="30"/>
        <v>5</v>
      </c>
      <c r="C89" s="138" t="str">
        <f>IF(Classements!D94=Critères!$C$61,Critères!$B$61,IF(Classements!D94=Critères!$C$62,Critères!$B$62,IF(Classements!D94=Critères!$C$63,Critères!$B$63,0)))</f>
        <v>g4.1</v>
      </c>
      <c r="D89" s="35">
        <f>IF(Classements!E94=Critères!$C$61,Critères!$B$61,IF(Classements!E94=Critères!$C$62,Critères!$B$62,IF(Classements!E94=Critères!$C$63,Critères!$B$63,0)))</f>
        <v>0</v>
      </c>
      <c r="E89" s="47">
        <f>IF(Classements!F94=Critères!$C$61,Critères!$B$61,IF(Classements!F94=Critères!$C$62,Critères!$B$62,IF(Classements!F94=Critères!$C$63,Critères!$B$63,0)))</f>
        <v>0</v>
      </c>
      <c r="F89" s="35">
        <f>IF(B89=0,"-",IF(D91=0,1,0))</f>
        <v>0</v>
      </c>
      <c r="G89" s="35">
        <f>0</f>
        <v>0</v>
      </c>
      <c r="H89" s="47">
        <f>G89</f>
        <v>0</v>
      </c>
      <c r="I89" s="139">
        <f t="shared" si="29"/>
        <v>1</v>
      </c>
      <c r="J89" s="250"/>
      <c r="K89" s="139">
        <f t="shared" si="32"/>
        <v>1</v>
      </c>
      <c r="L89" s="74">
        <f>IF(C89=0,"-",IF(B89=1,1+$J$91*0,1+$J$91*(0+I88+I87+I86+I85+I84+I83+I82+I81+I80+I79+I78+I77+I76+I75)))</f>
        <v>2.7142857142857144</v>
      </c>
    </row>
    <row r="90" spans="2:32" x14ac:dyDescent="0.35">
      <c r="D90" s="33" t="s">
        <v>124</v>
      </c>
      <c r="E90" s="62"/>
      <c r="F90" s="46"/>
      <c r="G90" s="46"/>
      <c r="H90" s="46"/>
      <c r="I90" s="46" t="s">
        <v>106</v>
      </c>
      <c r="J90" s="46" t="s">
        <v>105</v>
      </c>
    </row>
    <row r="91" spans="2:32" x14ac:dyDescent="0.35">
      <c r="D91" s="36">
        <f>COUNTIF(C75:E89,"&lt;&gt;0")</f>
        <v>3</v>
      </c>
      <c r="E91" s="54"/>
      <c r="I91" s="36">
        <f>SUM(I75:I89)</f>
        <v>7</v>
      </c>
      <c r="J91" s="37">
        <f>(J75-1)/I91</f>
        <v>0.2857142857142857</v>
      </c>
    </row>
    <row r="92" spans="2:32" ht="15" thickBot="1" x14ac:dyDescent="0.4"/>
    <row r="93" spans="2:32" ht="24" thickBot="1" x14ac:dyDescent="0.4">
      <c r="B93" s="225" t="s">
        <v>153</v>
      </c>
      <c r="C93" s="226"/>
      <c r="D93" s="226"/>
      <c r="E93" s="226"/>
      <c r="F93" s="226"/>
      <c r="G93" s="226"/>
      <c r="H93" s="226"/>
      <c r="I93" s="226"/>
      <c r="J93" s="226"/>
      <c r="K93" s="226"/>
      <c r="L93" s="226"/>
      <c r="M93" s="226"/>
      <c r="N93" s="226"/>
      <c r="O93" s="226"/>
      <c r="P93" s="226"/>
      <c r="Q93" s="226"/>
      <c r="R93" s="226"/>
      <c r="S93" s="226"/>
      <c r="T93" s="226"/>
      <c r="U93" s="226"/>
      <c r="V93" s="226"/>
      <c r="W93" s="226"/>
      <c r="X93" s="226"/>
      <c r="Y93" s="226"/>
      <c r="Z93" s="226"/>
      <c r="AA93" s="226"/>
      <c r="AB93" s="226"/>
      <c r="AC93" s="226"/>
      <c r="AD93" s="226"/>
      <c r="AE93" s="226"/>
      <c r="AF93" s="227"/>
    </row>
    <row r="94" spans="2:32" ht="15" thickBot="1" x14ac:dyDescent="0.4"/>
    <row r="95" spans="2:32" x14ac:dyDescent="0.35">
      <c r="B95" s="257" t="s">
        <v>95</v>
      </c>
      <c r="C95" s="259" t="s">
        <v>0</v>
      </c>
      <c r="D95" s="260"/>
      <c r="E95" s="261"/>
      <c r="F95" s="259" t="s">
        <v>99</v>
      </c>
      <c r="G95" s="260"/>
      <c r="H95" s="261"/>
      <c r="I95" s="257" t="s">
        <v>98</v>
      </c>
      <c r="J95" s="257" t="s">
        <v>48</v>
      </c>
      <c r="K95" s="257" t="s">
        <v>100</v>
      </c>
      <c r="L95" s="253" t="s">
        <v>104</v>
      </c>
      <c r="O95" s="253" t="s">
        <v>0</v>
      </c>
      <c r="P95" s="253" t="s">
        <v>104</v>
      </c>
      <c r="Q95" s="253" t="s">
        <v>101</v>
      </c>
      <c r="R95" s="253" t="s">
        <v>102</v>
      </c>
      <c r="S95" s="253" t="s">
        <v>103</v>
      </c>
      <c r="T95" s="253" t="s">
        <v>123</v>
      </c>
      <c r="U95" s="253" t="s">
        <v>111</v>
      </c>
      <c r="V95" s="253" t="s">
        <v>143</v>
      </c>
      <c r="W95" s="257" t="s">
        <v>117</v>
      </c>
      <c r="X95" s="251" t="s">
        <v>128</v>
      </c>
      <c r="Y95" s="253" t="s">
        <v>144</v>
      </c>
      <c r="Z95" s="257" t="s">
        <v>126</v>
      </c>
      <c r="AA95" s="251" t="s">
        <v>127</v>
      </c>
      <c r="AB95" s="253" t="s">
        <v>112</v>
      </c>
      <c r="AC95" s="253" t="s">
        <v>113</v>
      </c>
      <c r="AD95" s="46"/>
      <c r="AE95" s="255" t="s">
        <v>129</v>
      </c>
    </row>
    <row r="96" spans="2:32" ht="15" thickBot="1" x14ac:dyDescent="0.4">
      <c r="B96" s="252"/>
      <c r="C96" s="265"/>
      <c r="D96" s="266"/>
      <c r="E96" s="267"/>
      <c r="F96" s="262"/>
      <c r="G96" s="263"/>
      <c r="H96" s="264"/>
      <c r="I96" s="258"/>
      <c r="J96" s="258"/>
      <c r="K96" s="252"/>
      <c r="L96" s="254"/>
      <c r="O96" s="254"/>
      <c r="P96" s="268"/>
      <c r="Q96" s="254"/>
      <c r="R96" s="268"/>
      <c r="S96" s="268"/>
      <c r="T96" s="268"/>
      <c r="U96" s="268"/>
      <c r="V96" s="268"/>
      <c r="W96" s="258"/>
      <c r="X96" s="270"/>
      <c r="Y96" s="254"/>
      <c r="Z96" s="258"/>
      <c r="AA96" s="270"/>
      <c r="AB96" s="254"/>
      <c r="AC96" s="254"/>
      <c r="AD96" s="46"/>
      <c r="AE96" s="256"/>
    </row>
    <row r="97" spans="2:31" x14ac:dyDescent="0.35">
      <c r="B97" s="150">
        <f>IF(C97=0,0,1)</f>
        <v>0</v>
      </c>
      <c r="C97" s="63">
        <f>IF(Classements!D129=Critères!$C$41,Critères!$B$41,IF(Classements!D129=Critères!$C$42,Critères!$B$42,IF(Classements!D129=Critères!$C$43,Critères!$B$43,IF(Classements!D129=Critères!$C$44,Critères!$B$44,0))))</f>
        <v>0</v>
      </c>
      <c r="D97" s="59">
        <f>IF(Classements!E129=Critères!$C$41,Critères!$B$41,IF(Classements!E129=Critères!$C$42,Critères!$B$42,IF(Classements!E129=Critères!$C$43,Critères!$B$43,IF(Classements!E129=Critères!$C$44,Critères!$B$44,0))))</f>
        <v>0</v>
      </c>
      <c r="E97" s="59">
        <f>IF(Classements!F129=Critères!$C$41,Critères!$B$41,IF(Classements!F129=Critères!$C$42,Critères!$B$42,IF(Classements!F129=Critères!$C$43,Critères!$B$43,IF(Classements!F129=Critères!$C$44,Critères!$B$44,0))))</f>
        <v>0</v>
      </c>
      <c r="F97" s="63" t="str">
        <f>IF(B97=0,"-",IF(C98=0,1,0))</f>
        <v>-</v>
      </c>
      <c r="G97" s="59" t="str">
        <f>IF(F97="-","-",IF(F97=0,0,IF(G98&lt;&gt;0,G98+F97,F97)))</f>
        <v>-</v>
      </c>
      <c r="H97" s="64" t="str">
        <f>IF(OR(G96=0,G96="-"),G97,0)</f>
        <v>-</v>
      </c>
      <c r="I97" s="135">
        <f>IF(H97="-",0,H97+1)</f>
        <v>0</v>
      </c>
      <c r="J97" s="248">
        <f>Classements!D131</f>
        <v>4</v>
      </c>
      <c r="K97" s="135" t="str">
        <f t="shared" ref="K97:K108" si="33">IF(C97=0,"-",IF(D97=0,1,IF(E97=0,2,3)))</f>
        <v>-</v>
      </c>
      <c r="L97" s="40" t="str">
        <f>IF(C97=0,"-",1+$J$110*0)</f>
        <v>-</v>
      </c>
      <c r="N97" s="72">
        <v>1</v>
      </c>
      <c r="O97" s="51" t="s">
        <v>145</v>
      </c>
      <c r="P97" s="78">
        <f>INDEX($L$97:$L$108,coord($C$97:$E$108,O97))</f>
        <v>3.5</v>
      </c>
      <c r="Q97" s="40">
        <f>(100/$P$102)*P97</f>
        <v>43.75</v>
      </c>
      <c r="R97" s="81">
        <f>TRUNC(Q97,$Q$102)</f>
        <v>43.75</v>
      </c>
      <c r="S97" s="41">
        <f>(10^(-$Q$102)-(Q97-R97))/Q97</f>
        <v>2.2857142857142857E-4</v>
      </c>
      <c r="T97" s="40">
        <f>(Q97-R97)/Q97</f>
        <v>0</v>
      </c>
      <c r="U97" s="53">
        <f>IF(S97&gt;T97,1,0)</f>
        <v>1</v>
      </c>
      <c r="V97" s="51">
        <f>IF(U97=1,S97,"")</f>
        <v>2.2857142857142857E-4</v>
      </c>
      <c r="W97" s="41" cm="1">
        <f t="array" ref="W97">IF(U102+S102&gt;O102,IF(W102=1,SMALL(V97:V100,{1}),IF(W102=2,SMALL(V97:V100,{1;2}),IF(W102=3,SMALL(V97:V100,{1;2;3}),IF(W102=4,SMALL(V97:V100,{1;2;3;4}),IF(W102=5,SMALL(V97:V100,{1;2;3;4;5}),IF(W102=6,SMALL(V97:V100,{1;2;3;4;5;6}),IF(W102=7,SMALL(V97:V100,{1;2;3;4;5;6;7}),IF(W102=8,SMALL(V97:V100,{1;2;3;4;5;6;7;8}))))))))),0)</f>
        <v>0</v>
      </c>
      <c r="X97" s="72">
        <f>IF(COUNTIF($W$97:$W$100,S97)&lt;&gt;0,1,0)</f>
        <v>0</v>
      </c>
      <c r="Y97" s="40" t="str">
        <f>IF(U97=0,T97,"")</f>
        <v/>
      </c>
      <c r="Z97" s="65" cm="1">
        <f t="array" ref="Z97">IF(U102+S102&lt;O102,IF(Z102=1,SMALL(Y97:Y100,{1}),IF(Z102=2,SMALL(Y97:Y100,{1;2}),IF(Z102=3,SMALL(Y97:Y100,{1;2;3}),IF(Z102=4,SMALL(Y97:Y100,{1;2;3;4}),IF(Z102=5,SMALL(Y97:Y100,{1;2;3;4;5}),IF(Z102=6,SMALL(Y97:Y100,{1;2;3;4;5;6}),IF(Z102=7,SMALL(Y97:Y100,{1;2;3;4;5;6;7}),IF(Z102=8,SMALL(Y97:Y100,{1;2;3;4;5;6;7;8}))))))))),0)</f>
        <v>0</v>
      </c>
      <c r="AA97" s="72">
        <f>IF(COUNTIF($Z$97:$Z$100,T97)&lt;&gt;0,1,0)</f>
        <v>1</v>
      </c>
      <c r="AB97" s="51">
        <f>IF($U$102+$S$102&gt;$O$102,IF(U97=0,1,IF(X97=1,1,0)),IF(AC97=1,0,1))</f>
        <v>0</v>
      </c>
      <c r="AC97" s="51">
        <f>IF($U$102+$S$102&lt;=$O$102,IF(U97=1,1,IF(AA97=1,1,0)),IF(AB97=1,0,1))</f>
        <v>1</v>
      </c>
      <c r="AD97" s="46"/>
      <c r="AE97" s="94">
        <f>IF(AND(AB97=0,AC97=1),ROUNDDOWN(Q97,$Q$102),ROUNDUP(Q97,$Q$102))</f>
        <v>43.75</v>
      </c>
    </row>
    <row r="98" spans="2:31" x14ac:dyDescent="0.35">
      <c r="B98" s="151">
        <f>IF(B97=0,IF(C98=0,0,1),B97+1)</f>
        <v>0</v>
      </c>
      <c r="C98" s="137">
        <f>IF(Classements!D128=Critères!$C$41,Critères!$B$41,IF(Classements!D128=Critères!$C$42,Critères!$B$42,IF(Classements!D128=Critères!$C$43,Critères!$B$43,IF(Classements!D128=Critères!$C$44,Critères!$B$44,0))))</f>
        <v>0</v>
      </c>
      <c r="D98" s="33">
        <f>IF(Classements!E128=Critères!$C$41,Critères!$B$41,IF(Classements!E128=Critères!$C$42,Critères!$B$42,IF(Classements!E128=Critères!$C$43,Critères!$B$43,IF(Classements!E128=Critères!$C$44,Critères!$B$44,0))))</f>
        <v>0</v>
      </c>
      <c r="E98" s="33">
        <f>IF(Classements!F128=Critères!$C$41,Critères!$B$41,IF(Classements!F128=Critères!$C$42,Critères!$B$42,IF(Classements!F128=Critères!$C$43,Critères!$B$43,IF(Classements!F128=Critères!$C$44,Critères!$B$44,0))))</f>
        <v>0</v>
      </c>
      <c r="F98" s="137" t="str">
        <f>IF(B98=0,"-",IF(C99=0,1,0))</f>
        <v>-</v>
      </c>
      <c r="G98" s="33" t="str">
        <f>IF(F98="-","-",IF(F98=0,0,IF(G99&lt;&gt;0,G99+F98,F98)))</f>
        <v>-</v>
      </c>
      <c r="H98" s="34" t="str">
        <f>IF(OR(G97=0,G97="-"),G98,0)</f>
        <v>-</v>
      </c>
      <c r="I98" s="136">
        <f t="shared" ref="I98:I108" si="34">IF(H98="-",0,H98+1)</f>
        <v>0</v>
      </c>
      <c r="J98" s="249"/>
      <c r="K98" s="136" t="str">
        <f t="shared" si="33"/>
        <v>-</v>
      </c>
      <c r="L98" s="41" t="str">
        <f>IF(C98=0,"-",IF(B98=1,1+$J$110*0,1+$J$110*(0+I97)))</f>
        <v>-</v>
      </c>
      <c r="N98" s="58">
        <v>2</v>
      </c>
      <c r="O98" s="53" t="s">
        <v>147</v>
      </c>
      <c r="P98" s="79">
        <f>INDEX($L$97:$L$108,coord($C$97:$E$108,O98))</f>
        <v>2</v>
      </c>
      <c r="Q98" s="41">
        <f>(100/$P$102)*P98</f>
        <v>25</v>
      </c>
      <c r="R98" s="82">
        <f>TRUNC(Q98,$Q$102)</f>
        <v>25</v>
      </c>
      <c r="S98" s="41">
        <f>(10^(-$Q$102)-(Q98-R98))/Q98</f>
        <v>4.0000000000000002E-4</v>
      </c>
      <c r="T98" s="41">
        <f>(Q98-R98)/Q98</f>
        <v>0</v>
      </c>
      <c r="U98" s="53">
        <f>IF(S98&gt;T98,1,0)</f>
        <v>1</v>
      </c>
      <c r="V98" s="53">
        <f>IF(U98=1,S98,"")</f>
        <v>4.0000000000000002E-4</v>
      </c>
      <c r="W98" s="41"/>
      <c r="X98" s="53">
        <f>IF(COUNTIF($W$97:$W$100,S98)&lt;&gt;0,IF(SUM(X97)&gt;=W102,0,1),0)</f>
        <v>0</v>
      </c>
      <c r="Y98" s="41" t="str">
        <f>IF(U98=0,T98,"")</f>
        <v/>
      </c>
      <c r="Z98" s="65"/>
      <c r="AA98" s="53">
        <f>IF(COUNTIF($Z$97:$Z$100,T98)&lt;&gt;0,IF(SUM(AA97)&gt;=Z102,0,1),0)</f>
        <v>0</v>
      </c>
      <c r="AB98" s="53">
        <f>IF($U$102+$S$102&gt;$O$102,IF(U98=0,1,IF(X98=1,1,0)),IF(AC98=1,0,1))</f>
        <v>0</v>
      </c>
      <c r="AC98" s="53">
        <f>IF($U$102+$S$102&lt;=$O$102,IF(U98=1,1,IF(AA98=1,1,0)),IF(AB98=1,0,1))</f>
        <v>1</v>
      </c>
      <c r="AD98" s="46"/>
      <c r="AE98" s="95">
        <f>IF(AND(AB98=0,AC98=1),ROUNDDOWN(Q98,$Q$102),ROUNDUP(Q98,$Q$102))</f>
        <v>25</v>
      </c>
    </row>
    <row r="99" spans="2:31" x14ac:dyDescent="0.35">
      <c r="B99" s="151">
        <f t="shared" ref="B99:B108" si="35">IF(B98=0,IF(C99=0,0,1),B98+1)</f>
        <v>0</v>
      </c>
      <c r="C99" s="137">
        <f>IF(Classements!D127=Critères!$C$41,Critères!$B$41,IF(Classements!D127=Critères!$C$42,Critères!$B$42,IF(Classements!D127=Critères!$C$43,Critères!$B$43,IF(Classements!D127=Critères!$C$44,Critères!$B$44,0))))</f>
        <v>0</v>
      </c>
      <c r="D99" s="33">
        <f>IF(Classements!E127=Critères!$C$41,Critères!$B$41,IF(Classements!E127=Critères!$C$42,Critères!$B$42,IF(Classements!E127=Critères!$C$43,Critères!$B$43,IF(Classements!E127=Critères!$C$44,Critères!$B$44,0))))</f>
        <v>0</v>
      </c>
      <c r="E99" s="33">
        <f>IF(Classements!F127=Critères!$C$41,Critères!$B$41,IF(Classements!F127=Critères!$C$42,Critères!$B$42,IF(Classements!F127=Critères!$C$43,Critères!$B$43,IF(Classements!F127=Critères!$C$44,Critères!$B$44,0))))</f>
        <v>0</v>
      </c>
      <c r="F99" s="137" t="str">
        <f t="shared" ref="F99:F105" si="36">IF(B99=0,"-",IF(C100=0,1,0))</f>
        <v>-</v>
      </c>
      <c r="G99" s="33" t="str">
        <f>IF(F99="-","-",IF(F99=0,0,IF(G100&lt;&gt;0,G100+F99,F99)))</f>
        <v>-</v>
      </c>
      <c r="H99" s="34" t="str">
        <f t="shared" ref="H99:H104" si="37">IF(OR(G98=0,G98="-"),G99,0)</f>
        <v>-</v>
      </c>
      <c r="I99" s="136">
        <f t="shared" si="34"/>
        <v>0</v>
      </c>
      <c r="J99" s="249"/>
      <c r="K99" s="136" t="str">
        <f t="shared" si="33"/>
        <v>-</v>
      </c>
      <c r="L99" s="41" t="str">
        <f>IF(C99=0,"-",IF(B99=1,1+$J$110*0,1+$J$110*(0+I98+I97)))</f>
        <v>-</v>
      </c>
      <c r="N99" s="58">
        <v>3</v>
      </c>
      <c r="O99" s="53" t="s">
        <v>148</v>
      </c>
      <c r="P99" s="79">
        <f>INDEX($L$97:$L$108,coord($C$97:$E$108,O99))</f>
        <v>1.5</v>
      </c>
      <c r="Q99" s="41">
        <f>(100/$P$102)*P99</f>
        <v>18.75</v>
      </c>
      <c r="R99" s="82">
        <f>TRUNC(Q99,$Q$102)</f>
        <v>18.75</v>
      </c>
      <c r="S99" s="41">
        <f>(10^(-$Q$102)-(Q99-R99))/Q99</f>
        <v>5.3333333333333336E-4</v>
      </c>
      <c r="T99" s="41">
        <f>(Q99-R99)/Q99</f>
        <v>0</v>
      </c>
      <c r="U99" s="53">
        <f>IF(S99&gt;T99,1,0)</f>
        <v>1</v>
      </c>
      <c r="V99" s="53">
        <f>IF(U99=1,S99,"")</f>
        <v>5.3333333333333336E-4</v>
      </c>
      <c r="W99" s="41"/>
      <c r="X99" s="53">
        <f>IF(COUNTIF($W$97:$W$100,S99)&lt;&gt;0,IF(SUM(X97:X98)&gt;=W102,0,1),0)</f>
        <v>0</v>
      </c>
      <c r="Y99" s="41" t="str">
        <f>IF(U99=0,T99,"")</f>
        <v/>
      </c>
      <c r="Z99" s="65"/>
      <c r="AA99" s="53">
        <f>IF(COUNTIF($Z$97:$Z$100,T99)&lt;&gt;0,IF(SUM(AA97:AA98)&gt;=Z102,0,1),0)</f>
        <v>0</v>
      </c>
      <c r="AB99" s="53">
        <f>IF($U$102+$S$102&gt;$O$102,IF(U99=0,1,IF(X99=1,1,0)),IF(AC99=1,0,1))</f>
        <v>0</v>
      </c>
      <c r="AC99" s="53">
        <f>IF($U$102+$S$102&lt;=$O$102,IF(U99=1,1,IF(AA99=1,1,0)),IF(AB99=1,0,1))</f>
        <v>1</v>
      </c>
      <c r="AD99" s="46"/>
      <c r="AE99" s="95">
        <f>IF(AND(AB99=0,AC99=1),ROUNDDOWN(Q99,$Q$102),ROUNDUP(Q99,$Q$102))</f>
        <v>18.75</v>
      </c>
    </row>
    <row r="100" spans="2:31" ht="15" thickBot="1" x14ac:dyDescent="0.4">
      <c r="B100" s="151">
        <f t="shared" si="35"/>
        <v>0</v>
      </c>
      <c r="C100" s="137">
        <f>IF(Classements!D126=Critères!$C$41,Critères!$B$41,IF(Classements!D126=Critères!$C$42,Critères!$B$42,IF(Classements!D126=Critères!$C$43,Critères!$B$43,IF(Classements!D126=Critères!$C$44,Critères!$B$44,0))))</f>
        <v>0</v>
      </c>
      <c r="D100" s="33">
        <f>IF(Classements!E126=Critères!$C$41,Critères!$B$41,IF(Classements!E126=Critères!$C$42,Critères!$B$42,IF(Classements!E126=Critères!$C$43,Critères!$B$43,IF(Classements!E126=Critères!$C$44,Critères!$B$44,0))))</f>
        <v>0</v>
      </c>
      <c r="E100" s="33">
        <f>IF(Classements!F126=Critères!$C$41,Critères!$B$41,IF(Classements!F126=Critères!$C$42,Critères!$B$42,IF(Classements!F126=Critères!$C$43,Critères!$B$43,IF(Classements!F126=Critères!$C$44,Critères!$B$44,0))))</f>
        <v>0</v>
      </c>
      <c r="F100" s="137" t="str">
        <f t="shared" si="36"/>
        <v>-</v>
      </c>
      <c r="G100" s="33" t="str">
        <f>IF(F100="-","-",IF(F100=0,0,IF(G101&lt;&gt;0,G101+F100,F100)))</f>
        <v>-</v>
      </c>
      <c r="H100" s="34" t="str">
        <f t="shared" si="37"/>
        <v>-</v>
      </c>
      <c r="I100" s="136">
        <f t="shared" si="34"/>
        <v>0</v>
      </c>
      <c r="J100" s="249"/>
      <c r="K100" s="136" t="str">
        <f t="shared" si="33"/>
        <v>-</v>
      </c>
      <c r="L100" s="41" t="str">
        <f>IF(C100=0,"-",IF(B100=1,1+$J$110*0,1+$J$110*(0+I99+I98+I97)))</f>
        <v>-</v>
      </c>
      <c r="N100" s="55">
        <v>4</v>
      </c>
      <c r="O100" s="52" t="s">
        <v>146</v>
      </c>
      <c r="P100" s="80">
        <f>INDEX($L$97:$L$108,coord($C$97:$E$108,O100))</f>
        <v>1</v>
      </c>
      <c r="Q100" s="42">
        <f>(100/$P$102)*P100</f>
        <v>12.5</v>
      </c>
      <c r="R100" s="83">
        <f>TRUNC(Q100,$Q$102)</f>
        <v>12.5</v>
      </c>
      <c r="S100" s="42">
        <f>(10^(-$Q$102)-(Q100-R100))/Q100</f>
        <v>8.0000000000000004E-4</v>
      </c>
      <c r="T100" s="42">
        <f>(Q100-R100)/Q100</f>
        <v>0</v>
      </c>
      <c r="U100" s="52">
        <f>IF(S100&gt;T100,1,0)</f>
        <v>1</v>
      </c>
      <c r="V100" s="52">
        <f>IF(U100=1,S100,"")</f>
        <v>8.0000000000000004E-4</v>
      </c>
      <c r="W100" s="42"/>
      <c r="X100" s="52">
        <f>IF(COUNTIF($W$97:$W$100,S100)&lt;&gt;0,IF(SUM(X97:X99)&gt;=W102,0,1),0)</f>
        <v>0</v>
      </c>
      <c r="Y100" s="42" t="str">
        <f>IF(U100=0,T100,"")</f>
        <v/>
      </c>
      <c r="Z100" s="74"/>
      <c r="AA100" s="52">
        <f>IF(COUNTIF($Z$97:$Z$100,T100)&lt;&gt;0,IF(SUM(AA97:AA99)&gt;=Z102,0,1),0)</f>
        <v>0</v>
      </c>
      <c r="AB100" s="52">
        <f>IF($U$102+$S$102&gt;$O$102,IF(U100=0,1,IF(X100=1,1,0)),IF(AC100=1,0,1))</f>
        <v>0</v>
      </c>
      <c r="AC100" s="52">
        <f>IF($U$102+$S$102&lt;=$O$102,IF(U100=1,1,IF(AA100=1,1,0)),IF(AB100=1,0,1))</f>
        <v>1</v>
      </c>
      <c r="AD100" s="46"/>
      <c r="AE100" s="96">
        <f>IF(AND(AB100=0,AC100=1),ROUNDDOWN(Q100,$Q$102),ROUNDUP(Q100,$Q$102))</f>
        <v>12.5</v>
      </c>
    </row>
    <row r="101" spans="2:31" ht="15" thickBot="1" x14ac:dyDescent="0.4">
      <c r="B101" s="151">
        <f t="shared" si="35"/>
        <v>0</v>
      </c>
      <c r="C101" s="137">
        <f>IF(Classements!D125=Critères!$C$41,Critères!$B$41,IF(Classements!D125=Critères!$C$42,Critères!$B$42,IF(Classements!D125=Critères!$C$43,Critères!$B$43,IF(Classements!D125=Critères!$C$44,Critères!$B$44,0))))</f>
        <v>0</v>
      </c>
      <c r="D101" s="33">
        <f>IF(Classements!E125=Critères!$C$41,Critères!$B$41,IF(Classements!E125=Critères!$C$42,Critères!$B$42,IF(Classements!E125=Critères!$C$43,Critères!$B$43,IF(Classements!E125=Critères!$C$44,Critères!$B$44,0))))</f>
        <v>0</v>
      </c>
      <c r="E101" s="33">
        <f>IF(Classements!F125=Critères!$C$41,Critères!$B$41,IF(Classements!F125=Critères!$C$42,Critères!$B$42,IF(Classements!F125=Critères!$C$43,Critères!$B$43,IF(Classements!F125=Critères!$C$44,Critères!$B$44,0))))</f>
        <v>0</v>
      </c>
      <c r="F101" s="137" t="str">
        <f t="shared" si="36"/>
        <v>-</v>
      </c>
      <c r="G101" s="33" t="str">
        <f t="shared" ref="G101" si="38">IF(F101="-","-",IF(F101=0,0,IF(G102&lt;&gt;0,G102+F101,F101)))</f>
        <v>-</v>
      </c>
      <c r="H101" s="34" t="str">
        <f t="shared" si="37"/>
        <v>-</v>
      </c>
      <c r="I101" s="136">
        <f t="shared" si="34"/>
        <v>0</v>
      </c>
      <c r="J101" s="249"/>
      <c r="K101" s="136" t="str">
        <f t="shared" si="33"/>
        <v>-</v>
      </c>
      <c r="L101" s="41" t="str">
        <f>IF(C101=0,"-",IF(B101=1,1+$J$110*0,1+$J$110*(0+I100+I99+I98+I97)))</f>
        <v>-</v>
      </c>
      <c r="N101" s="43"/>
      <c r="O101" s="46" t="s">
        <v>124</v>
      </c>
      <c r="P101" s="46" t="s">
        <v>114</v>
      </c>
      <c r="Q101" s="46" t="s">
        <v>107</v>
      </c>
      <c r="R101" s="46" t="s">
        <v>108</v>
      </c>
      <c r="S101" s="59" t="s">
        <v>109</v>
      </c>
      <c r="T101" s="46"/>
      <c r="U101" s="44" t="s">
        <v>110</v>
      </c>
      <c r="V101" s="44"/>
      <c r="W101" s="46" t="s">
        <v>142</v>
      </c>
      <c r="X101" s="33"/>
      <c r="Y101" s="33"/>
      <c r="Z101" s="46" t="s">
        <v>125</v>
      </c>
      <c r="AA101" s="33"/>
      <c r="AB101" s="44" t="s">
        <v>115</v>
      </c>
      <c r="AC101" s="44" t="s">
        <v>116</v>
      </c>
      <c r="AE101" s="97"/>
    </row>
    <row r="102" spans="2:31" ht="15" thickBot="1" x14ac:dyDescent="0.4">
      <c r="B102" s="151">
        <f>IF(B101=0,IF(C102=0,0,1),B101+1)</f>
        <v>0</v>
      </c>
      <c r="C102" s="137">
        <f>IF(Classements!D124=Critères!$C$41,Critères!$B$41,IF(Classements!D124=Critères!$C$42,Critères!$B$42,IF(Classements!D124=Critères!$C$43,Critères!$B$43,IF(Classements!D124=Critères!$C$44,Critères!$B$44,0))))</f>
        <v>0</v>
      </c>
      <c r="D102" s="33">
        <f>IF(Classements!E124=Critères!$C$41,Critères!$B$41,IF(Classements!E124=Critères!$C$42,Critères!$B$42,IF(Classements!E124=Critères!$C$43,Critères!$B$43,IF(Classements!E124=Critères!$C$44,Critères!$B$44,0))))</f>
        <v>0</v>
      </c>
      <c r="E102" s="33">
        <f>IF(Classements!F124=Critères!$C$41,Critères!$B$41,IF(Classements!F124=Critères!$C$42,Critères!$B$42,IF(Classements!F124=Critères!$C$43,Critères!$B$43,IF(Classements!F124=Critères!$C$44,Critères!$B$44,0))))</f>
        <v>0</v>
      </c>
      <c r="F102" s="137" t="str">
        <f t="shared" si="36"/>
        <v>-</v>
      </c>
      <c r="G102" s="33" t="str">
        <f>IF(F102="-","-",IF(F102=0,0,IF(G103&lt;&gt;0,G103+F102,F102)))</f>
        <v>-</v>
      </c>
      <c r="H102" s="34" t="str">
        <f t="shared" si="37"/>
        <v>-</v>
      </c>
      <c r="I102" s="136">
        <f t="shared" si="34"/>
        <v>0</v>
      </c>
      <c r="J102" s="249"/>
      <c r="K102" s="136" t="str">
        <f t="shared" si="33"/>
        <v>-</v>
      </c>
      <c r="L102" s="41" t="str">
        <f>IF(C102=0,"-",IF(B102=1,1+$J$110*0,1+$J$110*(0+I101+I100+I99+I98+I97)))</f>
        <v>-</v>
      </c>
      <c r="N102" s="43"/>
      <c r="O102" s="36">
        <f>COUNTIF(O97:O100,"&lt;&gt;0")</f>
        <v>4</v>
      </c>
      <c r="P102" s="37">
        <f>SUM(P97:P100)</f>
        <v>8</v>
      </c>
      <c r="Q102" s="36">
        <v>2</v>
      </c>
      <c r="R102" s="45">
        <f>SUM(R97:R100)</f>
        <v>100</v>
      </c>
      <c r="S102" s="70">
        <f>ROUND(10^(Q102)*(100-R102),0)</f>
        <v>0</v>
      </c>
      <c r="T102" s="50"/>
      <c r="U102" s="38">
        <f>SUM(U97:U100)</f>
        <v>4</v>
      </c>
      <c r="V102" s="92"/>
      <c r="W102" s="49">
        <f>S102+U102-O102</f>
        <v>0</v>
      </c>
      <c r="X102" s="56"/>
      <c r="Y102" s="56"/>
      <c r="Z102" s="49">
        <f>O102-S102-U102</f>
        <v>0</v>
      </c>
      <c r="AA102" s="57"/>
      <c r="AB102" s="48">
        <f>IF(SUM(AB97:AB100)=S102,S102,"ERREUR")</f>
        <v>0</v>
      </c>
      <c r="AC102" s="48">
        <f>IF(SUM(AC97:AC100)=O102-S102,O102-S102,"ERREUR")</f>
        <v>4</v>
      </c>
      <c r="AE102" s="61">
        <f>SUM(AE97:AE100)</f>
        <v>100</v>
      </c>
    </row>
    <row r="103" spans="2:31" x14ac:dyDescent="0.35">
      <c r="B103" s="151">
        <f t="shared" si="35"/>
        <v>0</v>
      </c>
      <c r="C103" s="137">
        <f>IF(Classements!D123=Critères!$C$41,Critères!$B$41,IF(Classements!D123=Critères!$C$42,Critères!$B$42,IF(Classements!D123=Critères!$C$43,Critères!$B$43,IF(Classements!D123=Critères!$C$44,Critères!$B$44,0))))</f>
        <v>0</v>
      </c>
      <c r="D103" s="33">
        <f>IF(Classements!E123=Critères!$C$41,Critères!$B$41,IF(Classements!E123=Critères!$C$42,Critères!$B$42,IF(Classements!E123=Critères!$C$43,Critères!$B$43,IF(Classements!E123=Critères!$C$44,Critères!$B$44,0))))</f>
        <v>0</v>
      </c>
      <c r="E103" s="33">
        <f>IF(Classements!F123=Critères!$C$41,Critères!$B$41,IF(Classements!F123=Critères!$C$42,Critères!$B$42,IF(Classements!F123=Critères!$C$43,Critères!$B$43,IF(Classements!F123=Critères!$C$44,Critères!$B$44,0))))</f>
        <v>0</v>
      </c>
      <c r="F103" s="137" t="str">
        <f t="shared" si="36"/>
        <v>-</v>
      </c>
      <c r="G103" s="33" t="str">
        <f>IF(F103="-","-",IF(F103=0,0,IF(G104&lt;&gt;0,G104+F103,F103)))</f>
        <v>-</v>
      </c>
      <c r="H103" s="34" t="str">
        <f t="shared" si="37"/>
        <v>-</v>
      </c>
      <c r="I103" s="136">
        <f t="shared" si="34"/>
        <v>0</v>
      </c>
      <c r="J103" s="249"/>
      <c r="K103" s="136" t="str">
        <f t="shared" si="33"/>
        <v>-</v>
      </c>
      <c r="L103" s="41" t="str">
        <f>IF(C103=0,"-",IF(B103=1,1+$J$110*0,1+$J$110*(0+I102+I101+I100+I99+I98+I97)))</f>
        <v>-</v>
      </c>
    </row>
    <row r="104" spans="2:31" x14ac:dyDescent="0.35">
      <c r="B104" s="151">
        <f t="shared" si="35"/>
        <v>1</v>
      </c>
      <c r="C104" s="137" t="str">
        <f>IF(Classements!D122=Critères!$C$41,Critères!$B$41,IF(Classements!D122=Critères!$C$42,Critères!$B$42,IF(Classements!D122=Critères!$C$43,Critères!$B$43,IF(Classements!D122=Critères!$C$44,Critères!$B$44,0))))</f>
        <v>F4</v>
      </c>
      <c r="D104" s="33">
        <f>IF(Classements!E122=Critères!$C$41,Critères!$B$41,IF(Classements!E122=Critères!$C$42,Critères!$B$42,IF(Classements!E122=Critères!$C$43,Critères!$B$43,IF(Classements!E122=Critères!$C$44,Critères!$B$44,0))))</f>
        <v>0</v>
      </c>
      <c r="E104" s="33">
        <f>IF(Classements!F122=Critères!$C$41,Critères!$B$41,IF(Classements!F122=Critères!$C$42,Critères!$B$42,IF(Classements!F122=Critères!$C$43,Critères!$B$43,IF(Classements!F122=Critères!$C$44,Critères!$B$44,0))))</f>
        <v>0</v>
      </c>
      <c r="F104" s="137">
        <f t="shared" si="36"/>
        <v>0</v>
      </c>
      <c r="G104" s="33">
        <f>IF(F104="-","-",IF(F104=0,0,IF(G105&lt;&gt;0,G105+F104,F104)))</f>
        <v>0</v>
      </c>
      <c r="H104" s="34">
        <f t="shared" si="37"/>
        <v>0</v>
      </c>
      <c r="I104" s="136">
        <f t="shared" si="34"/>
        <v>1</v>
      </c>
      <c r="J104" s="249"/>
      <c r="K104" s="136">
        <f t="shared" si="33"/>
        <v>1</v>
      </c>
      <c r="L104" s="41">
        <f>IF(C104=0,"-",IF(B104=1,1+$J$110*0,1+$J$110*(0+I103+I102+I101+I100+I99+I98+I97)))</f>
        <v>1</v>
      </c>
    </row>
    <row r="105" spans="2:31" x14ac:dyDescent="0.35">
      <c r="B105" s="151">
        <f t="shared" si="35"/>
        <v>2</v>
      </c>
      <c r="C105" s="137" t="str">
        <f>IF(Classements!D121=Critères!$C$41,Critères!$B$41,IF(Classements!D121=Critères!$C$42,Critères!$B$42,IF(Classements!D121=Critères!$C$43,Critères!$B$43,IF(Classements!D121=Critères!$C$44,Critères!$B$44,0))))</f>
        <v>F3</v>
      </c>
      <c r="D105" s="33">
        <f>IF(Classements!E121=Critères!$C$41,Critères!$B$41,IF(Classements!E121=Critères!$C$42,Critères!$B$42,IF(Classements!E121=Critères!$C$43,Critères!$B$43,IF(Classements!E121=Critères!$C$44,Critères!$B$44,0))))</f>
        <v>0</v>
      </c>
      <c r="E105" s="33">
        <f>IF(Classements!F121=Critères!$C$41,Critères!$B$41,IF(Classements!F121=Critères!$C$42,Critères!$B$42,IF(Classements!F121=Critères!$C$43,Critères!$B$43,IF(Classements!F121=Critères!$C$44,Critères!$B$44,0))))</f>
        <v>0</v>
      </c>
      <c r="F105" s="137">
        <f t="shared" si="36"/>
        <v>0</v>
      </c>
      <c r="G105" s="33">
        <f>IF(F105="-","-",IF(F105=0,0,IF(G106&lt;&gt;0,G106+F105,F105)))</f>
        <v>0</v>
      </c>
      <c r="H105" s="34">
        <f>IF(OR(G104=0,G104="-"),G105,0)</f>
        <v>0</v>
      </c>
      <c r="I105" s="136">
        <f t="shared" si="34"/>
        <v>1</v>
      </c>
      <c r="J105" s="249"/>
      <c r="K105" s="136">
        <f t="shared" si="33"/>
        <v>1</v>
      </c>
      <c r="L105" s="41">
        <f>IF(C105=0,"-",IF(B105=1,1+$J$110*0,1+$J$110*(0+I104+I103+I102+I101+I100+I99+I98+I97)))</f>
        <v>1.5</v>
      </c>
    </row>
    <row r="106" spans="2:31" x14ac:dyDescent="0.35">
      <c r="B106" s="151">
        <f t="shared" si="35"/>
        <v>3</v>
      </c>
      <c r="C106" s="137" t="str">
        <f>IF(Classements!D120=Critères!$C$41,Critères!$B$41,IF(Classements!D120=Critères!$C$42,Critères!$B$42,IF(Classements!D120=Critères!$C$43,Critères!$B$43,IF(Classements!D120=Critères!$C$44,Critères!$B$44,0))))</f>
        <v>F2</v>
      </c>
      <c r="D106" s="33">
        <f>IF(Classements!E120=Critères!$C$41,Critères!$B$41,IF(Classements!E120=Critères!$C$42,Critères!$B$42,IF(Classements!E120=Critères!$C$43,Critères!$B$43,IF(Classements!E120=Critères!$C$44,Critères!$B$44,0))))</f>
        <v>0</v>
      </c>
      <c r="E106" s="33">
        <f>IF(Classements!F120=Critères!$C$41,Critères!$B$41,IF(Classements!F120=Critères!$C$42,Critères!$B$42,IF(Classements!F120=Critères!$C$43,Critères!$B$43,IF(Classements!F120=Critères!$C$44,Critères!$B$44,0))))</f>
        <v>0</v>
      </c>
      <c r="F106" s="137">
        <f>IF(B106=0,"-",IF(D108=0,1,0))</f>
        <v>1</v>
      </c>
      <c r="G106" s="33">
        <f t="shared" ref="G106:G108" si="39">IF(F106="-","-",IF(F106=0,0,IF(G107&lt;&gt;0,G107+F106,F106)))</f>
        <v>1</v>
      </c>
      <c r="H106" s="34">
        <f t="shared" ref="H106:H108" si="40">IF(OR(G105=0,G105="-"),G106,0)</f>
        <v>1</v>
      </c>
      <c r="I106" s="136">
        <f t="shared" si="34"/>
        <v>2</v>
      </c>
      <c r="J106" s="249"/>
      <c r="K106" s="136">
        <f t="shared" si="33"/>
        <v>1</v>
      </c>
      <c r="L106" s="41">
        <f>IF(C106=0,"-",IF(B106=1,1+$J$110*0,1+$J$110*(0+I105+I104+I103+I102+I101+I100+I99+I98+I97)))</f>
        <v>2</v>
      </c>
    </row>
    <row r="107" spans="2:31" x14ac:dyDescent="0.35">
      <c r="B107" s="151">
        <f t="shared" si="35"/>
        <v>4</v>
      </c>
      <c r="C107" s="137">
        <f>IF(Classements!D119=Critères!$C$41,Critères!$B$41,IF(Classements!D119=Critères!$C$42,Critères!$B$42,IF(Classements!D119=Critères!$C$43,Critères!$B$43,IF(Classements!D119=Critères!$C$44,Critères!$B$44,0))))</f>
        <v>0</v>
      </c>
      <c r="D107" s="33">
        <f>IF(Classements!E119=Critères!$C$41,Critères!$B$41,IF(Classements!E119=Critères!$C$42,Critères!$B$42,IF(Classements!E119=Critères!$C$43,Critères!$B$43,IF(Classements!E119=Critères!$C$44,Critères!$B$44,0))))</f>
        <v>0</v>
      </c>
      <c r="E107" s="33">
        <f>IF(Classements!F119=Critères!$C$41,Critères!$B$41,IF(Classements!F119=Critères!$C$42,Critères!$B$42,IF(Classements!F119=Critères!$C$43,Critères!$B$43,IF(Classements!F119=Critères!$C$44,Critères!$B$44,0))))</f>
        <v>0</v>
      </c>
      <c r="F107" s="137">
        <f t="shared" ref="F107:F108" si="41">IF(B107=0,"-",IF(D109=0,1,0))</f>
        <v>0</v>
      </c>
      <c r="G107" s="33">
        <f t="shared" si="39"/>
        <v>0</v>
      </c>
      <c r="H107" s="34">
        <f t="shared" si="40"/>
        <v>0</v>
      </c>
      <c r="I107" s="136">
        <f t="shared" si="34"/>
        <v>1</v>
      </c>
      <c r="J107" s="249"/>
      <c r="K107" s="136" t="str">
        <f t="shared" si="33"/>
        <v>-</v>
      </c>
      <c r="L107" s="41" t="str">
        <f>IF(C107=0,"-",IF(B107=1,1+$J$110*0,1+$J$110*(0+I106+I105+I104+I103+I102+I101+I100+I99+I98+I97)))</f>
        <v>-</v>
      </c>
    </row>
    <row r="108" spans="2:31" x14ac:dyDescent="0.35">
      <c r="B108" s="152">
        <f t="shared" si="35"/>
        <v>5</v>
      </c>
      <c r="C108" s="138" t="str">
        <f>IF(Classements!D118=Critères!$C$41,Critères!$B$41,IF(Classements!D118=Critères!$C$42,Critères!$B$42,IF(Classements!D118=Critères!$C$43,Critères!$B$43,IF(Classements!D118=Critères!$C$44,Critères!$B$44,0))))</f>
        <v>F1</v>
      </c>
      <c r="D108" s="35">
        <f>IF(Classements!E118=Critères!$C$41,Critères!$B$41,IF(Classements!E118=Critères!$C$42,Critères!$B$42,IF(Classements!E118=Critères!$C$43,Critères!$B$43,IF(Classements!E118=Critères!$C$44,Critères!$B$44,0))))</f>
        <v>0</v>
      </c>
      <c r="E108" s="35">
        <f>IF(Classements!F118=Critères!$C$41,Critères!$B$41,IF(Classements!F118=Critères!$C$42,Critères!$B$42,IF(Classements!F118=Critères!$C$43,Critères!$B$43,IF(Classements!F118=Critères!$C$44,Critères!$B$44,0))))</f>
        <v>0</v>
      </c>
      <c r="F108" s="138">
        <f t="shared" si="41"/>
        <v>0</v>
      </c>
      <c r="G108" s="35">
        <f t="shared" si="39"/>
        <v>0</v>
      </c>
      <c r="H108" s="47">
        <f t="shared" si="40"/>
        <v>0</v>
      </c>
      <c r="I108" s="139">
        <f t="shared" si="34"/>
        <v>1</v>
      </c>
      <c r="J108" s="250"/>
      <c r="K108" s="139">
        <f t="shared" si="33"/>
        <v>1</v>
      </c>
      <c r="L108" s="42">
        <f>IF(C108=0,"-",IF(B108=1,1+$J$110*0,1+$J$110*(0+I107+I106+I105+I104+I103+I102+I101+I100+I99+I98+I97)))</f>
        <v>3.5</v>
      </c>
    </row>
    <row r="109" spans="2:31" x14ac:dyDescent="0.35">
      <c r="D109" s="33" t="s">
        <v>124</v>
      </c>
      <c r="E109" s="62"/>
      <c r="F109" s="46"/>
      <c r="G109" s="46"/>
      <c r="H109" s="46"/>
      <c r="I109" s="46" t="s">
        <v>106</v>
      </c>
      <c r="J109" s="46" t="s">
        <v>105</v>
      </c>
    </row>
    <row r="110" spans="2:31" x14ac:dyDescent="0.35">
      <c r="D110" s="36">
        <f>COUNTIF(C99:E108,"&lt;&gt;0")</f>
        <v>4</v>
      </c>
      <c r="E110" s="54"/>
      <c r="I110" s="36">
        <f>SUM(I99:I108)</f>
        <v>6</v>
      </c>
      <c r="J110" s="37">
        <f>(J97-1)/I110</f>
        <v>0.5</v>
      </c>
    </row>
    <row r="113" spans="32:32" x14ac:dyDescent="0.35">
      <c r="AF113" s="93"/>
    </row>
    <row r="114" spans="32:32" x14ac:dyDescent="0.35">
      <c r="AF114" s="93"/>
    </row>
    <row r="115" spans="32:32" x14ac:dyDescent="0.35">
      <c r="AF115" s="93"/>
    </row>
    <row r="116" spans="32:32" x14ac:dyDescent="0.35">
      <c r="AF116" s="93"/>
    </row>
    <row r="117" spans="32:32" x14ac:dyDescent="0.35">
      <c r="AF117" s="93"/>
    </row>
    <row r="118" spans="32:32" x14ac:dyDescent="0.35">
      <c r="AF118" s="93"/>
    </row>
    <row r="119" spans="32:32" x14ac:dyDescent="0.35">
      <c r="AF119" s="93"/>
    </row>
    <row r="120" spans="32:32" x14ac:dyDescent="0.35">
      <c r="AF120" s="93"/>
    </row>
    <row r="121" spans="32:32" x14ac:dyDescent="0.35">
      <c r="AF121" s="93"/>
    </row>
    <row r="122" spans="32:32" x14ac:dyDescent="0.35">
      <c r="AF122" s="93"/>
    </row>
    <row r="123" spans="32:32" x14ac:dyDescent="0.35">
      <c r="AF123" s="93"/>
    </row>
    <row r="124" spans="32:32" x14ac:dyDescent="0.35">
      <c r="AF124" s="93"/>
    </row>
    <row r="125" spans="32:32" x14ac:dyDescent="0.35">
      <c r="AF125" s="93"/>
    </row>
    <row r="126" spans="32:32" x14ac:dyDescent="0.35">
      <c r="AF126" s="93"/>
    </row>
    <row r="127" spans="32:32" x14ac:dyDescent="0.35">
      <c r="AF127" s="93"/>
    </row>
    <row r="128" spans="32:32" x14ac:dyDescent="0.35">
      <c r="AF128" s="93"/>
    </row>
    <row r="129" spans="32:32" x14ac:dyDescent="0.35">
      <c r="AF129" s="93"/>
    </row>
    <row r="130" spans="32:32" x14ac:dyDescent="0.35">
      <c r="AF130" s="93"/>
    </row>
    <row r="131" spans="32:32" x14ac:dyDescent="0.35">
      <c r="AF131" s="93"/>
    </row>
    <row r="132" spans="32:32" x14ac:dyDescent="0.35">
      <c r="AF132" s="93"/>
    </row>
    <row r="133" spans="32:32" x14ac:dyDescent="0.35">
      <c r="AF133" s="93"/>
    </row>
    <row r="134" spans="32:32" x14ac:dyDescent="0.35">
      <c r="AF134" s="93"/>
    </row>
    <row r="135" spans="32:32" x14ac:dyDescent="0.35">
      <c r="AF135" s="93"/>
    </row>
    <row r="136" spans="32:32" x14ac:dyDescent="0.35">
      <c r="AF136" s="93"/>
    </row>
    <row r="137" spans="32:32" x14ac:dyDescent="0.35">
      <c r="AF137" s="93"/>
    </row>
    <row r="138" spans="32:32" x14ac:dyDescent="0.35">
      <c r="AF138" s="93"/>
    </row>
    <row r="139" spans="32:32" x14ac:dyDescent="0.35">
      <c r="AF139" s="93"/>
    </row>
    <row r="140" spans="32:32" x14ac:dyDescent="0.35">
      <c r="AF140" s="93"/>
    </row>
    <row r="141" spans="32:32" x14ac:dyDescent="0.35">
      <c r="AF141" s="93"/>
    </row>
    <row r="142" spans="32:32" x14ac:dyDescent="0.35">
      <c r="AF142" s="93"/>
    </row>
    <row r="143" spans="32:32" x14ac:dyDescent="0.35">
      <c r="AF143" s="93"/>
    </row>
    <row r="144" spans="32:32" x14ac:dyDescent="0.35">
      <c r="AF144" s="93"/>
    </row>
    <row r="145" spans="32:32" x14ac:dyDescent="0.35">
      <c r="AF145" s="93"/>
    </row>
    <row r="146" spans="32:32" x14ac:dyDescent="0.35">
      <c r="AF146" s="93"/>
    </row>
    <row r="147" spans="32:32" x14ac:dyDescent="0.35">
      <c r="AF147" s="93"/>
    </row>
    <row r="148" spans="32:32" x14ac:dyDescent="0.35">
      <c r="AF148" s="93"/>
    </row>
    <row r="149" spans="32:32" x14ac:dyDescent="0.35">
      <c r="AF149" s="93"/>
    </row>
    <row r="150" spans="32:32" x14ac:dyDescent="0.35">
      <c r="AF150" s="93"/>
    </row>
    <row r="151" spans="32:32" x14ac:dyDescent="0.35">
      <c r="AF151" s="93"/>
    </row>
    <row r="152" spans="32:32" x14ac:dyDescent="0.35">
      <c r="AF152" s="93"/>
    </row>
    <row r="153" spans="32:32" x14ac:dyDescent="0.35">
      <c r="AF153" s="93"/>
    </row>
    <row r="154" spans="32:32" x14ac:dyDescent="0.35">
      <c r="AF154" s="93"/>
    </row>
    <row r="155" spans="32:32" x14ac:dyDescent="0.35">
      <c r="AF155" s="93"/>
    </row>
    <row r="156" spans="32:32" x14ac:dyDescent="0.35">
      <c r="AF156" s="93"/>
    </row>
    <row r="157" spans="32:32" x14ac:dyDescent="0.35">
      <c r="AF157" s="93"/>
    </row>
    <row r="158" spans="32:32" x14ac:dyDescent="0.35">
      <c r="AF158" s="93"/>
    </row>
    <row r="159" spans="32:32" x14ac:dyDescent="0.35">
      <c r="AF159" s="93"/>
    </row>
    <row r="160" spans="32:32" x14ac:dyDescent="0.35">
      <c r="AF160" s="93"/>
    </row>
    <row r="161" spans="32:32" x14ac:dyDescent="0.35">
      <c r="AF161" s="93"/>
    </row>
    <row r="162" spans="32:32" x14ac:dyDescent="0.35">
      <c r="AF162" s="93"/>
    </row>
    <row r="163" spans="32:32" x14ac:dyDescent="0.35">
      <c r="AF163" s="93"/>
    </row>
    <row r="164" spans="32:32" x14ac:dyDescent="0.35">
      <c r="AF164" s="93"/>
    </row>
    <row r="165" spans="32:32" x14ac:dyDescent="0.35">
      <c r="AF165" s="93"/>
    </row>
    <row r="166" spans="32:32" x14ac:dyDescent="0.35">
      <c r="AF166" s="93"/>
    </row>
    <row r="167" spans="32:32" x14ac:dyDescent="0.35">
      <c r="AF167" s="93"/>
    </row>
    <row r="168" spans="32:32" x14ac:dyDescent="0.35">
      <c r="AF168" s="93"/>
    </row>
    <row r="169" spans="32:32" x14ac:dyDescent="0.35">
      <c r="AF169" s="93"/>
    </row>
    <row r="170" spans="32:32" x14ac:dyDescent="0.35">
      <c r="AF170" s="93"/>
    </row>
    <row r="171" spans="32:32" x14ac:dyDescent="0.35">
      <c r="AF171" s="93"/>
    </row>
    <row r="172" spans="32:32" x14ac:dyDescent="0.35">
      <c r="AF172" s="93"/>
    </row>
    <row r="173" spans="32:32" x14ac:dyDescent="0.35">
      <c r="AF173" s="93"/>
    </row>
    <row r="174" spans="32:32" x14ac:dyDescent="0.35">
      <c r="AF174" s="93"/>
    </row>
    <row r="175" spans="32:32" x14ac:dyDescent="0.35">
      <c r="AF175" s="93"/>
    </row>
    <row r="176" spans="32:32" x14ac:dyDescent="0.35">
      <c r="AF176" s="93"/>
    </row>
    <row r="177" spans="32:32" x14ac:dyDescent="0.35">
      <c r="AF177" s="93"/>
    </row>
    <row r="178" spans="32:32" x14ac:dyDescent="0.35">
      <c r="AF178" s="93"/>
    </row>
    <row r="179" spans="32:32" x14ac:dyDescent="0.35">
      <c r="AF179" s="93"/>
    </row>
    <row r="180" spans="32:32" x14ac:dyDescent="0.35">
      <c r="AF180" s="93"/>
    </row>
    <row r="181" spans="32:32" x14ac:dyDescent="0.35">
      <c r="AF181" s="93"/>
    </row>
    <row r="182" spans="32:32" x14ac:dyDescent="0.35">
      <c r="AF182" s="93"/>
    </row>
    <row r="183" spans="32:32" x14ac:dyDescent="0.35">
      <c r="AF183" s="93"/>
    </row>
  </sheetData>
  <sheetProtection sheet="1" objects="1" scenarios="1"/>
  <mergeCells count="126">
    <mergeCell ref="B2:AF3"/>
    <mergeCell ref="B93:AF93"/>
    <mergeCell ref="B27:AF27"/>
    <mergeCell ref="B5:AF5"/>
    <mergeCell ref="B49:AF49"/>
    <mergeCell ref="B71:AF71"/>
    <mergeCell ref="AE95:AE96"/>
    <mergeCell ref="X95:X96"/>
    <mergeCell ref="Y95:Y96"/>
    <mergeCell ref="Z95:Z96"/>
    <mergeCell ref="AA95:AA96"/>
    <mergeCell ref="AB95:AB96"/>
    <mergeCell ref="AC95:AC96"/>
    <mergeCell ref="R95:R96"/>
    <mergeCell ref="S95:S96"/>
    <mergeCell ref="T95:T96"/>
    <mergeCell ref="U95:U96"/>
    <mergeCell ref="V95:V96"/>
    <mergeCell ref="W95:W96"/>
    <mergeCell ref="P95:P96"/>
    <mergeCell ref="Q95:Q96"/>
    <mergeCell ref="B95:B96"/>
    <mergeCell ref="C95:E96"/>
    <mergeCell ref="F95:H96"/>
    <mergeCell ref="I95:I96"/>
    <mergeCell ref="J95:J96"/>
    <mergeCell ref="Z73:Z74"/>
    <mergeCell ref="AA73:AA74"/>
    <mergeCell ref="K95:K96"/>
    <mergeCell ref="L95:L96"/>
    <mergeCell ref="AB73:AB74"/>
    <mergeCell ref="O95:O96"/>
    <mergeCell ref="AC73:AC74"/>
    <mergeCell ref="AE73:AE74"/>
    <mergeCell ref="J75:J89"/>
    <mergeCell ref="V73:V74"/>
    <mergeCell ref="Y73:Y74"/>
    <mergeCell ref="R73:R74"/>
    <mergeCell ref="S73:S74"/>
    <mergeCell ref="T73:T74"/>
    <mergeCell ref="U73:U74"/>
    <mergeCell ref="W73:W74"/>
    <mergeCell ref="X73:X74"/>
    <mergeCell ref="J73:J74"/>
    <mergeCell ref="K73:K74"/>
    <mergeCell ref="L73:L74"/>
    <mergeCell ref="O73:O74"/>
    <mergeCell ref="P73:P74"/>
    <mergeCell ref="Q73:Q74"/>
    <mergeCell ref="AA51:AA52"/>
    <mergeCell ref="AB51:AB52"/>
    <mergeCell ref="AC51:AC52"/>
    <mergeCell ref="AE51:AE52"/>
    <mergeCell ref="J53:J67"/>
    <mergeCell ref="B73:B74"/>
    <mergeCell ref="C73:E74"/>
    <mergeCell ref="F73:H74"/>
    <mergeCell ref="I73:I74"/>
    <mergeCell ref="S51:S52"/>
    <mergeCell ref="T51:T52"/>
    <mergeCell ref="U51:U52"/>
    <mergeCell ref="W51:W52"/>
    <mergeCell ref="X51:X52"/>
    <mergeCell ref="Z51:Z52"/>
    <mergeCell ref="V51:V52"/>
    <mergeCell ref="Y51:Y52"/>
    <mergeCell ref="K51:K52"/>
    <mergeCell ref="L51:L52"/>
    <mergeCell ref="O51:O52"/>
    <mergeCell ref="P51:P52"/>
    <mergeCell ref="Q51:Q52"/>
    <mergeCell ref="R51:R52"/>
    <mergeCell ref="B51:B52"/>
    <mergeCell ref="Z29:Z30"/>
    <mergeCell ref="AA29:AA30"/>
    <mergeCell ref="AB29:AB30"/>
    <mergeCell ref="AC29:AC30"/>
    <mergeCell ref="AE29:AE30"/>
    <mergeCell ref="J31:J45"/>
    <mergeCell ref="V29:V30"/>
    <mergeCell ref="Y29:Y30"/>
    <mergeCell ref="R29:R30"/>
    <mergeCell ref="S29:S30"/>
    <mergeCell ref="T29:T30"/>
    <mergeCell ref="U29:U30"/>
    <mergeCell ref="W29:W30"/>
    <mergeCell ref="X29:X30"/>
    <mergeCell ref="J29:J30"/>
    <mergeCell ref="K29:K30"/>
    <mergeCell ref="L29:L30"/>
    <mergeCell ref="O29:O30"/>
    <mergeCell ref="P29:P30"/>
    <mergeCell ref="Q29:Q30"/>
    <mergeCell ref="B7:B8"/>
    <mergeCell ref="C7:E8"/>
    <mergeCell ref="F7:H8"/>
    <mergeCell ref="I7:I8"/>
    <mergeCell ref="J7:J8"/>
    <mergeCell ref="C51:E52"/>
    <mergeCell ref="F51:H52"/>
    <mergeCell ref="I51:I52"/>
    <mergeCell ref="J51:J52"/>
    <mergeCell ref="J97:J108"/>
    <mergeCell ref="AA7:AA8"/>
    <mergeCell ref="AB7:AB8"/>
    <mergeCell ref="AC7:AC8"/>
    <mergeCell ref="AE7:AE8"/>
    <mergeCell ref="J9:J23"/>
    <mergeCell ref="Z7:Z8"/>
    <mergeCell ref="Y7:Y8"/>
    <mergeCell ref="B29:B30"/>
    <mergeCell ref="C29:E30"/>
    <mergeCell ref="F29:H30"/>
    <mergeCell ref="I29:I30"/>
    <mergeCell ref="S7:S8"/>
    <mergeCell ref="T7:T8"/>
    <mergeCell ref="U7:U8"/>
    <mergeCell ref="W7:W8"/>
    <mergeCell ref="X7:X8"/>
    <mergeCell ref="V7:V8"/>
    <mergeCell ref="K7:K8"/>
    <mergeCell ref="L7:L8"/>
    <mergeCell ref="O7:O8"/>
    <mergeCell ref="P7:P8"/>
    <mergeCell ref="Q7:Q8"/>
    <mergeCell ref="R7:R8"/>
  </mergeCells>
  <phoneticPr fontId="26" type="noConversion"/>
  <conditionalFormatting sqref="AB15:AC15 AB36:AC36 AB58:AC58">
    <cfRule type="containsText" dxfId="12" priority="26" operator="containsText" text="ERREUR">
      <formula>NOT(ISERROR(SEARCH("ERREUR",AB15)))</formula>
    </cfRule>
  </conditionalFormatting>
  <conditionalFormatting sqref="AE15 AE36 AE58">
    <cfRule type="cellIs" dxfId="11" priority="24" operator="notEqual">
      <formula>100</formula>
    </cfRule>
    <cfRule type="cellIs" dxfId="10" priority="25" operator="equal">
      <formula>100</formula>
    </cfRule>
  </conditionalFormatting>
  <conditionalFormatting sqref="AE31:AE34">
    <cfRule type="dataBar" priority="23">
      <dataBar>
        <cfvo type="min"/>
        <cfvo type="max"/>
        <color rgb="FF638EC6"/>
      </dataBar>
      <extLst>
        <ext xmlns:x14="http://schemas.microsoft.com/office/spreadsheetml/2009/9/main" uri="{B025F937-C7B1-47D3-B67F-A62EFF666E3E}">
          <x14:id>{AB40F3A0-93F1-49CC-A3F3-B7275A0BDF40}</x14:id>
        </ext>
      </extLst>
    </cfRule>
  </conditionalFormatting>
  <conditionalFormatting sqref="AB102:AC102">
    <cfRule type="containsText" dxfId="9" priority="20" operator="containsText" text="ERREUR">
      <formula>NOT(ISERROR(SEARCH("ERREUR",AB102)))</formula>
    </cfRule>
  </conditionalFormatting>
  <conditionalFormatting sqref="AE102">
    <cfRule type="cellIs" dxfId="8" priority="18" operator="notEqual">
      <formula>100</formula>
    </cfRule>
    <cfRule type="cellIs" dxfId="7" priority="19" operator="equal">
      <formula>100</formula>
    </cfRule>
  </conditionalFormatting>
  <conditionalFormatting sqref="AE97:AE100">
    <cfRule type="dataBar" priority="17">
      <dataBar>
        <cfvo type="min"/>
        <cfvo type="max"/>
        <color rgb="FF638EC6"/>
      </dataBar>
      <extLst>
        <ext xmlns:x14="http://schemas.microsoft.com/office/spreadsheetml/2009/9/main" uri="{B025F937-C7B1-47D3-B67F-A62EFF666E3E}">
          <x14:id>{54479376-6461-48FD-92EE-B6D37F234326}</x14:id>
        </ext>
      </extLst>
    </cfRule>
  </conditionalFormatting>
  <conditionalFormatting sqref="AE9:AE13">
    <cfRule type="dataBar" priority="56">
      <dataBar>
        <cfvo type="min"/>
        <cfvo type="max"/>
        <color rgb="FF638EC6"/>
      </dataBar>
      <extLst>
        <ext xmlns:x14="http://schemas.microsoft.com/office/spreadsheetml/2009/9/main" uri="{B025F937-C7B1-47D3-B67F-A62EFF666E3E}">
          <x14:id>{334DF4B2-008A-4960-94B0-01FA34592420}</x14:id>
        </ext>
      </extLst>
    </cfRule>
  </conditionalFormatting>
  <conditionalFormatting sqref="AE53:AE56">
    <cfRule type="dataBar" priority="59">
      <dataBar>
        <cfvo type="min"/>
        <cfvo type="max"/>
        <color rgb="FF638EC6"/>
      </dataBar>
      <extLst>
        <ext xmlns:x14="http://schemas.microsoft.com/office/spreadsheetml/2009/9/main" uri="{B025F937-C7B1-47D3-B67F-A62EFF666E3E}">
          <x14:id>{6B09FBCB-8056-4F0A-8913-795844B7D5FD}</x14:id>
        </ext>
      </extLst>
    </cfRule>
  </conditionalFormatting>
  <conditionalFormatting sqref="AB79:AC79">
    <cfRule type="containsText" dxfId="6" priority="3" operator="containsText" text="ERREUR">
      <formula>NOT(ISERROR(SEARCH("ERREUR",AB79)))</formula>
    </cfRule>
  </conditionalFormatting>
  <conditionalFormatting sqref="AE79">
    <cfRule type="cellIs" dxfId="5" priority="1" operator="notEqual">
      <formula>100</formula>
    </cfRule>
    <cfRule type="cellIs" dxfId="4" priority="2" operator="equal">
      <formula>100</formula>
    </cfRule>
  </conditionalFormatting>
  <conditionalFormatting sqref="AE75:AE77">
    <cfRule type="dataBar" priority="60">
      <dataBar>
        <cfvo type="min"/>
        <cfvo type="max"/>
        <color rgb="FF638EC6"/>
      </dataBar>
      <extLst>
        <ext xmlns:x14="http://schemas.microsoft.com/office/spreadsheetml/2009/9/main" uri="{B025F937-C7B1-47D3-B67F-A62EFF666E3E}">
          <x14:id>{6CB7B8F2-FB5D-492B-A875-7A8D07E64D88}</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AB40F3A0-93F1-49CC-A3F3-B7275A0BDF40}">
            <x14:dataBar minLength="0" maxLength="100" border="1" negativeBarBorderColorSameAsPositive="0">
              <x14:cfvo type="autoMin"/>
              <x14:cfvo type="autoMax"/>
              <x14:borderColor rgb="FF638EC6"/>
              <x14:negativeFillColor rgb="FFFF0000"/>
              <x14:negativeBorderColor rgb="FFFF0000"/>
              <x14:axisColor rgb="FF000000"/>
            </x14:dataBar>
          </x14:cfRule>
          <xm:sqref>AE31:AE34</xm:sqref>
        </x14:conditionalFormatting>
        <x14:conditionalFormatting xmlns:xm="http://schemas.microsoft.com/office/excel/2006/main">
          <x14:cfRule type="dataBar" id="{54479376-6461-48FD-92EE-B6D37F234326}">
            <x14:dataBar minLength="0" maxLength="100" border="1" negativeBarBorderColorSameAsPositive="0">
              <x14:cfvo type="autoMin"/>
              <x14:cfvo type="autoMax"/>
              <x14:borderColor rgb="FF638EC6"/>
              <x14:negativeFillColor rgb="FFFF0000"/>
              <x14:negativeBorderColor rgb="FFFF0000"/>
              <x14:axisColor rgb="FF000000"/>
            </x14:dataBar>
          </x14:cfRule>
          <xm:sqref>AE97:AE100</xm:sqref>
        </x14:conditionalFormatting>
        <x14:conditionalFormatting xmlns:xm="http://schemas.microsoft.com/office/excel/2006/main">
          <x14:cfRule type="dataBar" id="{334DF4B2-008A-4960-94B0-01FA34592420}">
            <x14:dataBar minLength="0" maxLength="100" border="1" negativeBarBorderColorSameAsPositive="0">
              <x14:cfvo type="autoMin"/>
              <x14:cfvo type="autoMax"/>
              <x14:borderColor rgb="FF638EC6"/>
              <x14:negativeFillColor rgb="FFFF0000"/>
              <x14:negativeBorderColor rgb="FFFF0000"/>
              <x14:axisColor rgb="FF000000"/>
            </x14:dataBar>
          </x14:cfRule>
          <xm:sqref>AE9:AE13</xm:sqref>
        </x14:conditionalFormatting>
        <x14:conditionalFormatting xmlns:xm="http://schemas.microsoft.com/office/excel/2006/main">
          <x14:cfRule type="dataBar" id="{6B09FBCB-8056-4F0A-8913-795844B7D5FD}">
            <x14:dataBar minLength="0" maxLength="100" border="1" negativeBarBorderColorSameAsPositive="0">
              <x14:cfvo type="autoMin"/>
              <x14:cfvo type="autoMax"/>
              <x14:borderColor rgb="FF638EC6"/>
              <x14:negativeFillColor rgb="FFFF0000"/>
              <x14:negativeBorderColor rgb="FFFF0000"/>
              <x14:axisColor rgb="FF000000"/>
            </x14:dataBar>
          </x14:cfRule>
          <xm:sqref>AE53:AE56</xm:sqref>
        </x14:conditionalFormatting>
        <x14:conditionalFormatting xmlns:xm="http://schemas.microsoft.com/office/excel/2006/main">
          <x14:cfRule type="dataBar" id="{6CB7B8F2-FB5D-492B-A875-7A8D07E64D88}">
            <x14:dataBar minLength="0" maxLength="100" border="1" negativeBarBorderColorSameAsPositive="0">
              <x14:cfvo type="autoMin"/>
              <x14:cfvo type="autoMax"/>
              <x14:borderColor rgb="FF638EC6"/>
              <x14:negativeFillColor rgb="FFFF0000"/>
              <x14:negativeBorderColor rgb="FFFF0000"/>
              <x14:axisColor rgb="FF000000"/>
            </x14:dataBar>
          </x14:cfRule>
          <xm:sqref>AE75:AE77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3FE3B-0965-411B-8D89-01FAA3F97938}">
  <sheetPr codeName="Feuil4">
    <tabColor theme="4" tint="0.39997558519241921"/>
  </sheetPr>
  <dimension ref="B1:K43"/>
  <sheetViews>
    <sheetView zoomScale="85" zoomScaleNormal="85" workbookViewId="0">
      <selection activeCell="C6" sqref="C6:C9"/>
    </sheetView>
  </sheetViews>
  <sheetFormatPr baseColWidth="10" defaultRowHeight="14.5" x14ac:dyDescent="0.35"/>
  <cols>
    <col min="1" max="1" width="10.90625" style="1"/>
    <col min="2" max="2" width="4.36328125" style="1" bestFit="1" customWidth="1"/>
    <col min="3" max="16384" width="10.90625" style="1"/>
  </cols>
  <sheetData>
    <row r="1" spans="2:11" ht="15" thickBot="1" x14ac:dyDescent="0.4"/>
    <row r="2" spans="2:11" ht="21.5" thickBot="1" x14ac:dyDescent="0.4">
      <c r="B2" s="283" t="s">
        <v>141</v>
      </c>
      <c r="C2" s="284"/>
      <c r="D2" s="284"/>
      <c r="E2" s="284"/>
      <c r="F2" s="284"/>
      <c r="G2" s="284"/>
      <c r="H2" s="284"/>
      <c r="I2" s="284"/>
      <c r="J2" s="284"/>
      <c r="K2" s="285"/>
    </row>
    <row r="3" spans="2:11" x14ac:dyDescent="0.35">
      <c r="B3" s="158"/>
      <c r="C3" s="159"/>
      <c r="D3" s="159"/>
      <c r="E3" s="159"/>
      <c r="F3" s="159"/>
      <c r="G3" s="159"/>
      <c r="H3" s="159"/>
      <c r="I3" s="159"/>
      <c r="J3" s="159"/>
      <c r="K3" s="153"/>
    </row>
    <row r="4" spans="2:11" ht="15" thickBot="1" x14ac:dyDescent="0.4">
      <c r="B4" s="160"/>
      <c r="C4" s="140"/>
      <c r="D4" s="140"/>
      <c r="E4" s="140"/>
      <c r="F4" s="140"/>
      <c r="G4" s="140"/>
      <c r="H4" s="140"/>
      <c r="I4" s="140"/>
      <c r="J4" s="140"/>
      <c r="K4" s="154"/>
    </row>
    <row r="5" spans="2:11" ht="16" thickBot="1" x14ac:dyDescent="0.4">
      <c r="B5" s="161" t="s">
        <v>42</v>
      </c>
      <c r="C5" s="290" t="s">
        <v>155</v>
      </c>
      <c r="D5" s="291"/>
      <c r="E5" s="291"/>
      <c r="F5" s="291"/>
      <c r="G5" s="291"/>
      <c r="H5" s="291"/>
      <c r="I5" s="291"/>
      <c r="J5" s="292"/>
      <c r="K5" s="154"/>
    </row>
    <row r="6" spans="2:11" x14ac:dyDescent="0.35">
      <c r="B6" s="162" t="str">
        <f>Critères!B41</f>
        <v>F1</v>
      </c>
      <c r="C6" s="163">
        <f>Calculs!AE97</f>
        <v>43.75</v>
      </c>
      <c r="D6" s="140" t="str">
        <f>Critères!C41</f>
        <v>Critères Economiques</v>
      </c>
      <c r="E6" s="140"/>
      <c r="F6" s="140"/>
      <c r="G6" s="140"/>
      <c r="H6" s="140"/>
      <c r="I6" s="140"/>
      <c r="J6" s="140"/>
      <c r="K6" s="154"/>
    </row>
    <row r="7" spans="2:11" x14ac:dyDescent="0.35">
      <c r="B7" s="162" t="str">
        <f>Critères!B42</f>
        <v>F2</v>
      </c>
      <c r="C7" s="163">
        <f>Calculs!AE98</f>
        <v>25</v>
      </c>
      <c r="D7" s="140" t="str">
        <f>Critères!C42</f>
        <v>Critères Techniques</v>
      </c>
      <c r="E7" s="140"/>
      <c r="F7" s="140"/>
      <c r="G7" s="140"/>
      <c r="H7" s="140"/>
      <c r="I7" s="140"/>
      <c r="J7" s="140"/>
      <c r="K7" s="154"/>
    </row>
    <row r="8" spans="2:11" x14ac:dyDescent="0.35">
      <c r="B8" s="162" t="str">
        <f>Critères!B43</f>
        <v>F3</v>
      </c>
      <c r="C8" s="163">
        <f>Calculs!AE99</f>
        <v>18.75</v>
      </c>
      <c r="D8" s="140" t="str">
        <f>Critères!C43</f>
        <v>Critères Sociaux</v>
      </c>
      <c r="E8" s="140"/>
      <c r="F8" s="140"/>
      <c r="G8" s="140"/>
      <c r="H8" s="140"/>
      <c r="I8" s="140"/>
      <c r="J8" s="140"/>
      <c r="K8" s="154"/>
    </row>
    <row r="9" spans="2:11" x14ac:dyDescent="0.35">
      <c r="B9" s="162" t="str">
        <f>Critères!B44</f>
        <v>F4</v>
      </c>
      <c r="C9" s="163">
        <f>Calculs!AE100</f>
        <v>12.5</v>
      </c>
      <c r="D9" s="140" t="str">
        <f>Critères!C44</f>
        <v>Critères Environnementaux</v>
      </c>
      <c r="E9" s="140"/>
      <c r="F9" s="140"/>
      <c r="G9" s="140"/>
      <c r="H9" s="140"/>
      <c r="I9" s="140"/>
      <c r="J9" s="140"/>
      <c r="K9" s="154"/>
    </row>
    <row r="10" spans="2:11" x14ac:dyDescent="0.35">
      <c r="B10" s="164"/>
      <c r="C10" s="165">
        <f>Calculs!AE102</f>
        <v>100</v>
      </c>
      <c r="D10" s="140"/>
      <c r="E10" s="140"/>
      <c r="F10" s="140"/>
      <c r="G10" s="140"/>
      <c r="H10" s="140"/>
      <c r="I10" s="140"/>
      <c r="J10" s="140"/>
      <c r="K10" s="154"/>
    </row>
    <row r="11" spans="2:11" x14ac:dyDescent="0.35">
      <c r="B11" s="160"/>
      <c r="C11" s="140"/>
      <c r="D11" s="140"/>
      <c r="E11" s="140"/>
      <c r="F11" s="140"/>
      <c r="G11" s="140"/>
      <c r="H11" s="140"/>
      <c r="I11" s="140"/>
      <c r="J11" s="140"/>
      <c r="K11" s="154"/>
    </row>
    <row r="12" spans="2:11" ht="15" thickBot="1" x14ac:dyDescent="0.4">
      <c r="B12" s="160"/>
      <c r="C12" s="140"/>
      <c r="D12" s="140"/>
      <c r="E12" s="140"/>
      <c r="F12" s="140"/>
      <c r="G12" s="140"/>
      <c r="H12" s="140"/>
      <c r="I12" s="140"/>
      <c r="J12" s="140"/>
      <c r="K12" s="154"/>
    </row>
    <row r="13" spans="2:11" ht="16.5" thickTop="1" thickBot="1" x14ac:dyDescent="0.4">
      <c r="B13" s="166" t="s">
        <v>42</v>
      </c>
      <c r="C13" s="293" t="s">
        <v>149</v>
      </c>
      <c r="D13" s="294"/>
      <c r="E13" s="294"/>
      <c r="F13" s="294"/>
      <c r="G13" s="294"/>
      <c r="H13" s="294"/>
      <c r="I13" s="294"/>
      <c r="J13" s="295"/>
      <c r="K13" s="154"/>
    </row>
    <row r="14" spans="2:11" ht="15" thickTop="1" x14ac:dyDescent="0.35">
      <c r="B14" s="167" t="str">
        <f>Critères!B48</f>
        <v>g1.1</v>
      </c>
      <c r="C14" s="163">
        <f>Calculs!AE9</f>
        <v>27.28</v>
      </c>
      <c r="D14" s="27" t="str">
        <f>Critères!C48</f>
        <v>Coût d'investissement propriétaire</v>
      </c>
      <c r="E14" s="168"/>
      <c r="F14" s="168"/>
      <c r="G14" s="168"/>
      <c r="H14" s="168"/>
      <c r="I14" s="140"/>
      <c r="J14" s="140"/>
      <c r="K14" s="155">
        <f>C14*$C$6/100</f>
        <v>11.935</v>
      </c>
    </row>
    <row r="15" spans="2:11" x14ac:dyDescent="0.35">
      <c r="B15" s="167" t="str">
        <f>Critères!B49</f>
        <v>g1.2</v>
      </c>
      <c r="C15" s="163">
        <f>Calculs!AE10</f>
        <v>24.24</v>
      </c>
      <c r="D15" s="27" t="str">
        <f>Critères!C49</f>
        <v>Coût de réinvestissement sur une durée de 30 ans</v>
      </c>
      <c r="E15" s="168"/>
      <c r="F15" s="168"/>
      <c r="G15" s="168"/>
      <c r="H15" s="168"/>
      <c r="I15" s="140"/>
      <c r="J15" s="140"/>
      <c r="K15" s="155">
        <f>C15*$C$6/100</f>
        <v>10.605</v>
      </c>
    </row>
    <row r="16" spans="2:11" x14ac:dyDescent="0.35">
      <c r="B16" s="167" t="str">
        <f>Critères!B50</f>
        <v>g1.3</v>
      </c>
      <c r="C16" s="163">
        <f>Calculs!AE11</f>
        <v>6.06</v>
      </c>
      <c r="D16" s="27" t="str">
        <f>Critères!C50</f>
        <v>Possibilité d'aides financières et subventions particulières</v>
      </c>
      <c r="E16" s="168"/>
      <c r="F16" s="168"/>
      <c r="G16" s="168"/>
      <c r="H16" s="168"/>
      <c r="I16" s="140"/>
      <c r="J16" s="140"/>
      <c r="K16" s="155">
        <f>C16*$C$6/100</f>
        <v>2.6512500000000001</v>
      </c>
    </row>
    <row r="17" spans="2:11" x14ac:dyDescent="0.35">
      <c r="B17" s="167" t="str">
        <f>Critères!B51</f>
        <v>g1.4</v>
      </c>
      <c r="C17" s="163">
        <f>Calculs!AE12</f>
        <v>27.27</v>
      </c>
      <c r="D17" s="27" t="str">
        <f>Critères!C51</f>
        <v>Coût de fonctionnement</v>
      </c>
      <c r="E17" s="168"/>
      <c r="F17" s="168"/>
      <c r="G17" s="168"/>
      <c r="H17" s="168"/>
      <c r="I17" s="140"/>
      <c r="J17" s="140"/>
      <c r="K17" s="155">
        <f>C17*$C$6/100</f>
        <v>11.930624999999999</v>
      </c>
    </row>
    <row r="18" spans="2:11" x14ac:dyDescent="0.35">
      <c r="B18" s="167" t="str">
        <f>Critères!B52</f>
        <v>g1.5</v>
      </c>
      <c r="C18" s="163">
        <f>Calculs!AE13</f>
        <v>15.15</v>
      </c>
      <c r="D18" s="27" t="str">
        <f>Critères!C52</f>
        <v>Rentabilité énergétique de la solution</v>
      </c>
      <c r="E18" s="168"/>
      <c r="F18" s="168"/>
      <c r="G18" s="168"/>
      <c r="H18" s="168"/>
      <c r="I18" s="140"/>
      <c r="J18" s="140"/>
      <c r="K18" s="155">
        <f>C18*$C$6/100</f>
        <v>6.6281249999999998</v>
      </c>
    </row>
    <row r="19" spans="2:11" x14ac:dyDescent="0.35">
      <c r="B19" s="164" t="s">
        <v>138</v>
      </c>
      <c r="C19" s="165">
        <f>Calculs!AE15</f>
        <v>100</v>
      </c>
      <c r="D19" s="168"/>
      <c r="E19" s="168"/>
      <c r="F19" s="168"/>
      <c r="G19" s="168"/>
      <c r="H19" s="168"/>
      <c r="I19" s="140"/>
      <c r="J19" s="140"/>
      <c r="K19" s="156"/>
    </row>
    <row r="20" spans="2:11" x14ac:dyDescent="0.35">
      <c r="B20" s="160"/>
      <c r="C20" s="140"/>
      <c r="D20" s="168"/>
      <c r="E20" s="168"/>
      <c r="F20" s="168"/>
      <c r="G20" s="168"/>
      <c r="H20" s="168"/>
      <c r="I20" s="140"/>
      <c r="J20" s="140"/>
      <c r="K20" s="154"/>
    </row>
    <row r="21" spans="2:11" ht="15" thickBot="1" x14ac:dyDescent="0.4">
      <c r="B21" s="160"/>
      <c r="C21" s="140"/>
      <c r="D21" s="140"/>
      <c r="E21" s="140"/>
      <c r="F21" s="140"/>
      <c r="G21" s="140"/>
      <c r="H21" s="140"/>
      <c r="I21" s="140"/>
      <c r="J21" s="140"/>
      <c r="K21" s="154"/>
    </row>
    <row r="22" spans="2:11" ht="16.5" thickTop="1" thickBot="1" x14ac:dyDescent="0.4">
      <c r="B22" s="169" t="s">
        <v>42</v>
      </c>
      <c r="C22" s="296" t="s">
        <v>150</v>
      </c>
      <c r="D22" s="296"/>
      <c r="E22" s="296"/>
      <c r="F22" s="296"/>
      <c r="G22" s="296"/>
      <c r="H22" s="296"/>
      <c r="I22" s="296"/>
      <c r="J22" s="297"/>
      <c r="K22" s="154"/>
    </row>
    <row r="23" spans="2:11" ht="15" thickTop="1" x14ac:dyDescent="0.35">
      <c r="B23" s="170" t="str">
        <f>Critères!B53</f>
        <v>g2.1</v>
      </c>
      <c r="C23" s="163">
        <f>Calculs!AE31</f>
        <v>28.57</v>
      </c>
      <c r="D23" s="27" t="str">
        <f>Critères!C53</f>
        <v>Facilité d’intégration au bâti existant</v>
      </c>
      <c r="E23" s="163"/>
      <c r="F23" s="168"/>
      <c r="G23" s="168"/>
      <c r="H23" s="168"/>
      <c r="I23" s="140"/>
      <c r="J23" s="140"/>
      <c r="K23" s="155">
        <f>C23*$C$7/100</f>
        <v>7.1425000000000001</v>
      </c>
    </row>
    <row r="24" spans="2:11" x14ac:dyDescent="0.35">
      <c r="B24" s="170" t="str">
        <f>Critères!B54</f>
        <v>g2.2</v>
      </c>
      <c r="C24" s="163">
        <f>Calculs!AE32</f>
        <v>42.85</v>
      </c>
      <c r="D24" s="27" t="str">
        <f>Critères!C54</f>
        <v>Mise en œuvre en site occupé</v>
      </c>
      <c r="E24" s="163"/>
      <c r="F24" s="168"/>
      <c r="G24" s="168"/>
      <c r="H24" s="168"/>
      <c r="I24" s="140"/>
      <c r="J24" s="140"/>
      <c r="K24" s="155">
        <f>C24*$C$7/100</f>
        <v>10.7125</v>
      </c>
    </row>
    <row r="25" spans="2:11" x14ac:dyDescent="0.35">
      <c r="B25" s="170" t="str">
        <f>Critères!B55</f>
        <v>g2.3</v>
      </c>
      <c r="C25" s="163">
        <f>Calculs!AE33</f>
        <v>14.29</v>
      </c>
      <c r="D25" s="27" t="str">
        <f>Critères!C55</f>
        <v>Facilité d'entretien / Maintenance</v>
      </c>
      <c r="E25" s="163"/>
      <c r="F25" s="168"/>
      <c r="G25" s="168"/>
      <c r="H25" s="168"/>
      <c r="I25" s="140"/>
      <c r="J25" s="140"/>
      <c r="K25" s="155">
        <f>C25*$C$7/100</f>
        <v>3.5724999999999998</v>
      </c>
    </row>
    <row r="26" spans="2:11" x14ac:dyDescent="0.35">
      <c r="B26" s="170" t="str">
        <f>Critères!B56</f>
        <v>g2.4</v>
      </c>
      <c r="C26" s="163">
        <f>Calculs!AE34</f>
        <v>14.29</v>
      </c>
      <c r="D26" s="27" t="str">
        <f>Critères!C56</f>
        <v>Facilité de Comptage / Pilotage / Gestion de l'énergie</v>
      </c>
      <c r="E26" s="163"/>
      <c r="F26" s="168"/>
      <c r="G26" s="168"/>
      <c r="H26" s="168"/>
      <c r="I26" s="140"/>
      <c r="J26" s="140"/>
      <c r="K26" s="155">
        <f>C26*$C$7/100</f>
        <v>3.5724999999999998</v>
      </c>
    </row>
    <row r="27" spans="2:11" x14ac:dyDescent="0.35">
      <c r="B27" s="164" t="s">
        <v>138</v>
      </c>
      <c r="C27" s="165">
        <f>Calculs!AE36</f>
        <v>100</v>
      </c>
      <c r="D27" s="163"/>
      <c r="E27" s="163"/>
      <c r="F27" s="168"/>
      <c r="G27" s="168"/>
      <c r="H27" s="168"/>
      <c r="I27" s="140"/>
      <c r="J27" s="140"/>
      <c r="K27" s="154"/>
    </row>
    <row r="28" spans="2:11" x14ac:dyDescent="0.35">
      <c r="B28" s="160"/>
      <c r="C28" s="140"/>
      <c r="D28" s="168"/>
      <c r="E28" s="168"/>
      <c r="F28" s="168"/>
      <c r="G28" s="168"/>
      <c r="H28" s="168"/>
      <c r="I28" s="140"/>
      <c r="J28" s="140"/>
      <c r="K28" s="154"/>
    </row>
    <row r="29" spans="2:11" ht="15" thickBot="1" x14ac:dyDescent="0.4">
      <c r="B29" s="160"/>
      <c r="C29" s="140"/>
      <c r="D29" s="140"/>
      <c r="E29" s="140"/>
      <c r="F29" s="140"/>
      <c r="G29" s="140"/>
      <c r="H29" s="140"/>
      <c r="I29" s="140"/>
      <c r="J29" s="140"/>
      <c r="K29" s="154"/>
    </row>
    <row r="30" spans="2:11" ht="16.5" thickTop="1" thickBot="1" x14ac:dyDescent="0.4">
      <c r="B30" s="171" t="s">
        <v>42</v>
      </c>
      <c r="C30" s="286" t="s">
        <v>151</v>
      </c>
      <c r="D30" s="286"/>
      <c r="E30" s="286"/>
      <c r="F30" s="286"/>
      <c r="G30" s="286"/>
      <c r="H30" s="286"/>
      <c r="I30" s="286"/>
      <c r="J30" s="287"/>
      <c r="K30" s="154"/>
    </row>
    <row r="31" spans="2:11" ht="15" thickTop="1" x14ac:dyDescent="0.35">
      <c r="B31" s="172" t="str">
        <f>Critères!B57</f>
        <v>g3.1</v>
      </c>
      <c r="C31" s="163">
        <f>Calculs!AE53</f>
        <v>41.46</v>
      </c>
      <c r="D31" s="28" t="str">
        <f>Critères!C57</f>
        <v>Impact sur le coût pour le locataire</v>
      </c>
      <c r="E31" s="140"/>
      <c r="F31" s="140"/>
      <c r="G31" s="140"/>
      <c r="H31" s="140"/>
      <c r="I31" s="140"/>
      <c r="J31" s="140"/>
      <c r="K31" s="155">
        <f>C31*$C$8/100</f>
        <v>7.7737499999999997</v>
      </c>
    </row>
    <row r="32" spans="2:11" x14ac:dyDescent="0.35">
      <c r="B32" s="172" t="str">
        <f>Critères!B58</f>
        <v>g3.2</v>
      </c>
      <c r="C32" s="163">
        <f>Calculs!AE54</f>
        <v>34.14</v>
      </c>
      <c r="D32" s="28" t="str">
        <f>Critères!C58</f>
        <v>Niveau de confort thermique</v>
      </c>
      <c r="E32" s="140"/>
      <c r="F32" s="140"/>
      <c r="G32" s="140"/>
      <c r="H32" s="140"/>
      <c r="I32" s="140"/>
      <c r="J32" s="140"/>
      <c r="K32" s="155">
        <f>C32*$C$8/100</f>
        <v>6.4012500000000001</v>
      </c>
    </row>
    <row r="33" spans="2:11" x14ac:dyDescent="0.35">
      <c r="B33" s="172" t="str">
        <f>Critères!B59</f>
        <v>g3.3</v>
      </c>
      <c r="C33" s="163">
        <f>Calculs!AE55</f>
        <v>12.2</v>
      </c>
      <c r="D33" s="28" t="str">
        <f>Critères!C59</f>
        <v>Niveau de confort acoustique</v>
      </c>
      <c r="E33" s="140"/>
      <c r="F33" s="140"/>
      <c r="G33" s="140"/>
      <c r="H33" s="140"/>
      <c r="I33" s="140"/>
      <c r="J33" s="140"/>
      <c r="K33" s="155">
        <f>C33*$C$8/100</f>
        <v>2.2875000000000001</v>
      </c>
    </row>
    <row r="34" spans="2:11" x14ac:dyDescent="0.35">
      <c r="B34" s="172" t="str">
        <f>Critères!B60</f>
        <v>g3.4</v>
      </c>
      <c r="C34" s="163">
        <f>Calculs!AE56</f>
        <v>12.2</v>
      </c>
      <c r="D34" s="28" t="str">
        <f>Critères!C60</f>
        <v>Esthétique et encombrement</v>
      </c>
      <c r="E34" s="140"/>
      <c r="F34" s="140"/>
      <c r="G34" s="140"/>
      <c r="H34" s="140"/>
      <c r="I34" s="140"/>
      <c r="J34" s="140"/>
      <c r="K34" s="155">
        <f>C34*$C$8/100</f>
        <v>2.2875000000000001</v>
      </c>
    </row>
    <row r="35" spans="2:11" x14ac:dyDescent="0.35">
      <c r="B35" s="164" t="s">
        <v>138</v>
      </c>
      <c r="C35" s="165">
        <f>Calculs!AE58</f>
        <v>100</v>
      </c>
      <c r="D35" s="140"/>
      <c r="E35" s="140"/>
      <c r="F35" s="140"/>
      <c r="G35" s="140"/>
      <c r="H35" s="140"/>
      <c r="I35" s="140"/>
      <c r="J35" s="140"/>
      <c r="K35" s="154"/>
    </row>
    <row r="36" spans="2:11" x14ac:dyDescent="0.35">
      <c r="B36" s="160"/>
      <c r="C36" s="140"/>
      <c r="D36" s="140"/>
      <c r="E36" s="140"/>
      <c r="F36" s="140"/>
      <c r="G36" s="140"/>
      <c r="H36" s="140"/>
      <c r="I36" s="140"/>
      <c r="J36" s="140"/>
      <c r="K36" s="154"/>
    </row>
    <row r="37" spans="2:11" ht="15" thickBot="1" x14ac:dyDescent="0.4">
      <c r="B37" s="160"/>
      <c r="C37" s="140"/>
      <c r="D37" s="140"/>
      <c r="E37" s="140"/>
      <c r="F37" s="140"/>
      <c r="G37" s="140"/>
      <c r="H37" s="140"/>
      <c r="I37" s="140"/>
      <c r="J37" s="140"/>
      <c r="K37" s="154"/>
    </row>
    <row r="38" spans="2:11" ht="16.5" thickTop="1" thickBot="1" x14ac:dyDescent="0.4">
      <c r="B38" s="173" t="s">
        <v>42</v>
      </c>
      <c r="C38" s="288" t="s">
        <v>152</v>
      </c>
      <c r="D38" s="288"/>
      <c r="E38" s="288"/>
      <c r="F38" s="288"/>
      <c r="G38" s="288"/>
      <c r="H38" s="288"/>
      <c r="I38" s="288"/>
      <c r="J38" s="289"/>
      <c r="K38" s="154"/>
    </row>
    <row r="39" spans="2:11" ht="15" thickTop="1" x14ac:dyDescent="0.35">
      <c r="B39" s="174" t="str">
        <f>Critères!B61</f>
        <v>g4.1</v>
      </c>
      <c r="C39" s="163">
        <f>Calculs!AE75</f>
        <v>44.19</v>
      </c>
      <c r="D39" s="28" t="str">
        <f>Critères!C61</f>
        <v>Efficacité énergétique</v>
      </c>
      <c r="E39" s="140"/>
      <c r="F39" s="140"/>
      <c r="G39" s="140"/>
      <c r="H39" s="140"/>
      <c r="I39" s="140"/>
      <c r="J39" s="140"/>
      <c r="K39" s="155">
        <f>C39*$C$9/100</f>
        <v>5.5237499999999997</v>
      </c>
    </row>
    <row r="40" spans="2:11" x14ac:dyDescent="0.35">
      <c r="B40" s="174" t="str">
        <f>Critères!B62</f>
        <v>g4.2</v>
      </c>
      <c r="C40" s="165">
        <f>Calculs!AE76</f>
        <v>39.53</v>
      </c>
      <c r="D40" s="28" t="str">
        <f>Critères!C62</f>
        <v>Emissions de CO2 évitées</v>
      </c>
      <c r="E40" s="140"/>
      <c r="F40" s="140"/>
      <c r="G40" s="140"/>
      <c r="H40" s="140"/>
      <c r="I40" s="140"/>
      <c r="J40" s="140"/>
      <c r="K40" s="155">
        <f t="shared" ref="K40:K41" si="0">C40*$C$9/100</f>
        <v>4.9412500000000001</v>
      </c>
    </row>
    <row r="41" spans="2:11" x14ac:dyDescent="0.35">
      <c r="B41" s="174" t="str">
        <f>Critères!B63</f>
        <v>g4.3</v>
      </c>
      <c r="C41" s="165">
        <f>Calculs!AE77</f>
        <v>16.28</v>
      </c>
      <c r="D41" s="28" t="str">
        <f>Critères!C63</f>
        <v>Lieu de production</v>
      </c>
      <c r="E41" s="140"/>
      <c r="F41" s="140"/>
      <c r="G41" s="140"/>
      <c r="H41" s="140"/>
      <c r="I41" s="140"/>
      <c r="J41" s="140"/>
      <c r="K41" s="155">
        <f t="shared" si="0"/>
        <v>2.0350000000000001</v>
      </c>
    </row>
    <row r="42" spans="2:11" x14ac:dyDescent="0.35">
      <c r="B42" s="160" t="s">
        <v>138</v>
      </c>
      <c r="C42" s="165">
        <f>Calculs!AE79</f>
        <v>100</v>
      </c>
      <c r="D42" s="140"/>
      <c r="E42" s="140"/>
      <c r="F42" s="140"/>
      <c r="G42" s="140"/>
      <c r="H42" s="140"/>
      <c r="I42" s="140"/>
      <c r="J42" s="140"/>
      <c r="K42" s="155">
        <f>SUM(K13:K41)</f>
        <v>100</v>
      </c>
    </row>
    <row r="43" spans="2:11" x14ac:dyDescent="0.35">
      <c r="B43" s="175"/>
      <c r="C43" s="176"/>
      <c r="D43" s="176"/>
      <c r="E43" s="176"/>
      <c r="F43" s="176"/>
      <c r="G43" s="176"/>
      <c r="H43" s="176"/>
      <c r="I43" s="176"/>
      <c r="J43" s="176"/>
      <c r="K43" s="157"/>
    </row>
  </sheetData>
  <sheetProtection sheet="1" objects="1" scenarios="1"/>
  <mergeCells count="6">
    <mergeCell ref="B2:K2"/>
    <mergeCell ref="C30:J30"/>
    <mergeCell ref="C38:J38"/>
    <mergeCell ref="C5:J5"/>
    <mergeCell ref="C13:J13"/>
    <mergeCell ref="C22:J22"/>
  </mergeCells>
  <conditionalFormatting sqref="C23:C26">
    <cfRule type="dataBar" priority="45">
      <dataBar>
        <cfvo type="min"/>
        <cfvo type="max"/>
        <color rgb="FF638EC6"/>
      </dataBar>
      <extLst>
        <ext xmlns:x14="http://schemas.microsoft.com/office/spreadsheetml/2009/9/main" uri="{B025F937-C7B1-47D3-B67F-A62EFF666E3E}">
          <x14:id>{7F863DF5-3505-4252-82C2-6E6080A7949E}</x14:id>
        </ext>
      </extLst>
    </cfRule>
  </conditionalFormatting>
  <conditionalFormatting sqref="C6:C9">
    <cfRule type="dataBar" priority="41">
      <dataBar>
        <cfvo type="min"/>
        <cfvo type="max"/>
        <color rgb="FF638EC6"/>
      </dataBar>
      <extLst>
        <ext xmlns:x14="http://schemas.microsoft.com/office/spreadsheetml/2009/9/main" uri="{B025F937-C7B1-47D3-B67F-A62EFF666E3E}">
          <x14:id>{C3E4CE7B-F607-42FD-A9D7-E70566C80998}</x14:id>
        </ext>
      </extLst>
    </cfRule>
  </conditionalFormatting>
  <conditionalFormatting sqref="C10 C19 C27 C35 C42">
    <cfRule type="cellIs" dxfId="3" priority="33" operator="equal">
      <formula>100</formula>
    </cfRule>
    <cfRule type="cellIs" dxfId="2" priority="34" operator="notEqual">
      <formula>100</formula>
    </cfRule>
  </conditionalFormatting>
  <conditionalFormatting sqref="C39:C41">
    <cfRule type="dataBar" priority="51">
      <dataBar>
        <cfvo type="min"/>
        <cfvo type="max"/>
        <color rgb="FF638EC6"/>
      </dataBar>
      <extLst>
        <ext xmlns:x14="http://schemas.microsoft.com/office/spreadsheetml/2009/9/main" uri="{B025F937-C7B1-47D3-B67F-A62EFF666E3E}">
          <x14:id>{33951C75-DC9A-45B1-AE2A-FD55B2D03378}</x14:id>
        </ext>
      </extLst>
    </cfRule>
  </conditionalFormatting>
  <conditionalFormatting sqref="K31:K34 K23:K26 K14:K18 K39:K41">
    <cfRule type="dataBar" priority="6">
      <dataBar>
        <cfvo type="min"/>
        <cfvo type="max"/>
        <color rgb="FFFF555A"/>
      </dataBar>
      <extLst>
        <ext xmlns:x14="http://schemas.microsoft.com/office/spreadsheetml/2009/9/main" uri="{B025F937-C7B1-47D3-B67F-A62EFF666E3E}">
          <x14:id>{BD6737BF-715A-464B-B4DC-DE5ED0A24F3B}</x14:id>
        </ext>
      </extLst>
    </cfRule>
  </conditionalFormatting>
  <conditionalFormatting sqref="K42">
    <cfRule type="cellIs" dxfId="1" priority="4" operator="equal">
      <formula>100</formula>
    </cfRule>
    <cfRule type="cellIs" dxfId="0" priority="5" operator="notEqual">
      <formula>100</formula>
    </cfRule>
  </conditionalFormatting>
  <conditionalFormatting sqref="C14:C18">
    <cfRule type="dataBar" priority="53">
      <dataBar>
        <cfvo type="min"/>
        <cfvo type="max"/>
        <color rgb="FF638EC6"/>
      </dataBar>
      <extLst>
        <ext xmlns:x14="http://schemas.microsoft.com/office/spreadsheetml/2009/9/main" uri="{B025F937-C7B1-47D3-B67F-A62EFF666E3E}">
          <x14:id>{1755220A-394F-4C96-9025-1AB1E7DC0072}</x14:id>
        </ext>
      </extLst>
    </cfRule>
  </conditionalFormatting>
  <conditionalFormatting sqref="C31:C34">
    <cfRule type="dataBar" priority="54">
      <dataBar>
        <cfvo type="min"/>
        <cfvo type="max"/>
        <color rgb="FF638EC6"/>
      </dataBar>
      <extLst>
        <ext xmlns:x14="http://schemas.microsoft.com/office/spreadsheetml/2009/9/main" uri="{B025F937-C7B1-47D3-B67F-A62EFF666E3E}">
          <x14:id>{338D6F02-A18C-4F31-AAFE-AB6AA38802F7}</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7F863DF5-3505-4252-82C2-6E6080A7949E}">
            <x14:dataBar minLength="0" maxLength="100" border="1" negativeBarBorderColorSameAsPositive="0">
              <x14:cfvo type="autoMin"/>
              <x14:cfvo type="autoMax"/>
              <x14:borderColor rgb="FF638EC6"/>
              <x14:negativeFillColor rgb="FFFF0000"/>
              <x14:negativeBorderColor rgb="FFFF0000"/>
              <x14:axisColor rgb="FF000000"/>
            </x14:dataBar>
          </x14:cfRule>
          <xm:sqref>C23:C26</xm:sqref>
        </x14:conditionalFormatting>
        <x14:conditionalFormatting xmlns:xm="http://schemas.microsoft.com/office/excel/2006/main">
          <x14:cfRule type="dataBar" id="{C3E4CE7B-F607-42FD-A9D7-E70566C80998}">
            <x14:dataBar minLength="0" maxLength="100" border="1" negativeBarBorderColorSameAsPositive="0">
              <x14:cfvo type="autoMin"/>
              <x14:cfvo type="autoMax"/>
              <x14:borderColor rgb="FF638EC6"/>
              <x14:negativeFillColor rgb="FFFF0000"/>
              <x14:negativeBorderColor rgb="FFFF0000"/>
              <x14:axisColor rgb="FF000000"/>
            </x14:dataBar>
          </x14:cfRule>
          <xm:sqref>C6:C9</xm:sqref>
        </x14:conditionalFormatting>
        <x14:conditionalFormatting xmlns:xm="http://schemas.microsoft.com/office/excel/2006/main">
          <x14:cfRule type="dataBar" id="{33951C75-DC9A-45B1-AE2A-FD55B2D03378}">
            <x14:dataBar minLength="0" maxLength="100" border="1" negativeBarBorderColorSameAsPositive="0">
              <x14:cfvo type="autoMin"/>
              <x14:cfvo type="autoMax"/>
              <x14:borderColor rgb="FF638EC6"/>
              <x14:negativeFillColor rgb="FFFF0000"/>
              <x14:negativeBorderColor rgb="FFFF0000"/>
              <x14:axisColor rgb="FF000000"/>
            </x14:dataBar>
          </x14:cfRule>
          <xm:sqref>C39:C41</xm:sqref>
        </x14:conditionalFormatting>
        <x14:conditionalFormatting xmlns:xm="http://schemas.microsoft.com/office/excel/2006/main">
          <x14:cfRule type="dataBar" id="{BD6737BF-715A-464B-B4DC-DE5ED0A24F3B}">
            <x14:dataBar minLength="0" maxLength="100" border="1" negativeBarBorderColorSameAsPositive="0">
              <x14:cfvo type="autoMin"/>
              <x14:cfvo type="autoMax"/>
              <x14:borderColor rgb="FFFF555A"/>
              <x14:negativeFillColor rgb="FFFF0000"/>
              <x14:negativeBorderColor rgb="FFFF0000"/>
              <x14:axisColor rgb="FF000000"/>
            </x14:dataBar>
          </x14:cfRule>
          <xm:sqref>K31:K34 K23:K26 K14:K18 K39:K41</xm:sqref>
        </x14:conditionalFormatting>
        <x14:conditionalFormatting xmlns:xm="http://schemas.microsoft.com/office/excel/2006/main">
          <x14:cfRule type="dataBar" id="{1755220A-394F-4C96-9025-1AB1E7DC0072}">
            <x14:dataBar minLength="0" maxLength="100" border="1" negativeBarBorderColorSameAsPositive="0">
              <x14:cfvo type="autoMin"/>
              <x14:cfvo type="autoMax"/>
              <x14:borderColor rgb="FF638EC6"/>
              <x14:negativeFillColor rgb="FFFF0000"/>
              <x14:negativeBorderColor rgb="FFFF0000"/>
              <x14:axisColor rgb="FF000000"/>
            </x14:dataBar>
          </x14:cfRule>
          <xm:sqref>C14:C18</xm:sqref>
        </x14:conditionalFormatting>
        <x14:conditionalFormatting xmlns:xm="http://schemas.microsoft.com/office/excel/2006/main">
          <x14:cfRule type="dataBar" id="{338D6F02-A18C-4F31-AAFE-AB6AA38802F7}">
            <x14:dataBar minLength="0" maxLength="100" border="1" negativeBarBorderColorSameAsPositive="0">
              <x14:cfvo type="autoMin"/>
              <x14:cfvo type="autoMax"/>
              <x14:borderColor rgb="FF638EC6"/>
              <x14:negativeFillColor rgb="FFFF0000"/>
              <x14:negativeBorderColor rgb="FFFF0000"/>
              <x14:axisColor rgb="FF000000"/>
            </x14:dataBar>
          </x14:cfRule>
          <xm:sqref>C31:C34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Critères</vt:lpstr>
      <vt:lpstr>Classements</vt:lpstr>
      <vt:lpstr>Calculs</vt:lpstr>
      <vt:lpstr>Résultats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Souleymane DANIEL</dc:creator>
  <cp:lastModifiedBy>Souleymane DANIEL</cp:lastModifiedBy>
  <dcterms:created xsi:type="dcterms:W3CDTF">2020-10-12T09:31:08Z</dcterms:created>
  <dcterms:modified xsi:type="dcterms:W3CDTF">2021-12-16T14:04:03Z</dcterms:modified>
</cp:coreProperties>
</file>